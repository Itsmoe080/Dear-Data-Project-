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ore Log" sheetId="2" state="visible" r:id="rId4"/>
    <sheet name="Codes" sheetId="3" state="visible" r:id="rId5"/>
    <sheet name="Summary" sheetId="4" state="visible" r:id="rId6"/>
    <sheet name="Sessions" sheetId="5" state="visible" r:id="rId7"/>
  </sheets>
  <definedNames>
    <definedName function="false" hidden="true" localSheetId="1" name="_xlnm._FilterDatabase" vbProcedure="false">'Score Log'!$A$1:$H$501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<sst xmlns="http://schemas.openxmlformats.org/spreadsheetml/2006/main" count="154" uniqueCount="133">
  <si>
    <t xml:space="preserve">Basketball Scoring Log - Dear Data 100</t>
  </si>
  <si>
    <t xml:space="preserve">One row per score in the Monday and Wednesday games. Aim for 100+ observations.</t>
  </si>
  <si>
    <t xml:space="preserve">How to use</t>
  </si>
  <si>
    <t xml:space="preserve">1</t>
  </si>
  <si>
    <t xml:space="preserve">Fix your columns and codes (see the Codes sheet) before the first session and keep them the same.</t>
  </si>
  <si>
    <t xml:space="preserve">2</t>
  </si>
  <si>
    <t xml:space="preserve">During or straight after each game, jot one line per score in your phone, e.g. J,2,LAY,Y. You can't write while playing, so ask a teammate to log or write it up straight after the game.</t>
  </si>
  <si>
    <t xml:space="preserve">3</t>
  </si>
  <si>
    <t xml:space="preserve">Type the lines into the Score Log sheet (blue text = your entries). Drop-downs keep the codes consistent.</t>
  </si>
  <si>
    <t xml:space="preserve">4</t>
  </si>
  <si>
    <t xml:space="preserve">Check the 'check' column on the Score Log: it flags a points value that doesn't match the type code.</t>
  </si>
  <si>
    <t xml:space="preserve">5</t>
  </si>
  <si>
    <t xml:space="preserve">After each session, save columns A-G of the Score Log as a .csv file and commit it to your GitHub repo.</t>
  </si>
  <si>
    <t xml:space="preserve">6</t>
  </si>
  <si>
    <t xml:space="preserve">Tick the session as committed on the Sessions sheet to see your estimated GitHub marks.</t>
  </si>
  <si>
    <t xml:space="preserve">Colour key</t>
  </si>
  <si>
    <t xml:space="preserve">Blue text</t>
  </si>
  <si>
    <t xml:space="preserve">Input you type or can change (scores, targets, rules from the brief).</t>
  </si>
  <si>
    <t xml:space="preserve">Black text</t>
  </si>
  <si>
    <t xml:space="preserve">Formula - don't overwrite.</t>
  </si>
  <si>
    <t xml:space="preserve">Green text</t>
  </si>
  <si>
    <t xml:space="preserve">Pulled from another sheet.</t>
  </si>
  <si>
    <t xml:space="preserve">Yellow fill</t>
  </si>
  <si>
    <t xml:space="preserve">Key assumption cell on the Summary sheet.</t>
  </si>
  <si>
    <t xml:space="preserve">Grey fill</t>
  </si>
  <si>
    <t xml:space="preserve">Helper column, not part of your exported data.</t>
  </si>
  <si>
    <t xml:space="preserve">Example row (format only - do NOT enter this in the log)</t>
  </si>
  <si>
    <t xml:space="preserve">id</t>
  </si>
  <si>
    <t xml:space="preserve">date</t>
  </si>
  <si>
    <t xml:space="preserve">game</t>
  </si>
  <si>
    <t xml:space="preserve">scorer</t>
  </si>
  <si>
    <t xml:space="preserve">points</t>
  </si>
  <si>
    <t xml:space="preserve">type</t>
  </si>
  <si>
    <t xml:space="preserve">assisted</t>
  </si>
  <si>
    <t xml:space="preserve">J</t>
  </si>
  <si>
    <t xml:space="preserve">LAYUP</t>
  </si>
  <si>
    <t xml:space="preserve">Y</t>
  </si>
  <si>
    <t xml:space="preserve">Notes and assumptions</t>
  </si>
  <si>
    <t xml:space="preserve">-</t>
  </si>
  <si>
    <t xml:space="preserve">Stay anonymous: use initials or codes for scorers, never full names.</t>
  </si>
  <si>
    <t xml:space="preserve">Record points as actually played. If a game uses 1s and 2s instead of 2s and 3s, log what was awarded.</t>
  </si>
  <si>
    <t xml:space="preserve">Keep OTHER small. If it passes about 10% of your 2-pointers, give the common ones their own code early.</t>
  </si>
  <si>
    <t xml:space="preserve">Collect a few more than 100 so you have slack for mistakes (buffer set on the Summary sheet).</t>
  </si>
  <si>
    <t xml:space="preserve">Mark rates (1 per item in Part 1, 0.25 per item in Part 2, GitHub 5 per commit day) come from the Dear Data 100 assessment brief.</t>
  </si>
  <si>
    <t xml:space="preserve">Session dates on the Sessions sheet are my suggested plan: Mondays and Wednesdays from 19 Oct 2026. Edit them as needed.</t>
  </si>
  <si>
    <t xml:space="preserve">The sheet holds 500 score rows. If you need more, copy the last row down and extend the ranges on Summary and Sessions.</t>
  </si>
  <si>
    <t xml:space="preserve">check (helper)</t>
  </si>
  <si>
    <t xml:space="preserve">Scoring type codes</t>
  </si>
  <si>
    <t xml:space="preserve">Code</t>
  </si>
  <si>
    <t xml:space="preserve">Points</t>
  </si>
  <si>
    <t xml:space="preserve">Meaning</t>
  </si>
  <si>
    <t xml:space="preserve">FT</t>
  </si>
  <si>
    <t xml:space="preserve">Free throw (or a 1-point score under pickup rules)</t>
  </si>
  <si>
    <t xml:space="preserve">Layup at the rim</t>
  </si>
  <si>
    <t xml:space="preserve">DUNK</t>
  </si>
  <si>
    <t xml:space="preserve">Dunk</t>
  </si>
  <si>
    <t xml:space="preserve">FLOAT</t>
  </si>
  <si>
    <t xml:space="preserve">Floater or runner over a defender</t>
  </si>
  <si>
    <t xml:space="preserve">JUMPER</t>
  </si>
  <si>
    <t xml:space="preserve">Mid-range jump shot inside the arc</t>
  </si>
  <si>
    <t xml:space="preserve">HOOK</t>
  </si>
  <si>
    <t xml:space="preserve">Hook shot</t>
  </si>
  <si>
    <t xml:space="preserve">PUTBACK</t>
  </si>
  <si>
    <t xml:space="preserve">Offensive rebound put-back</t>
  </si>
  <si>
    <t xml:space="preserve">TIPIN</t>
  </si>
  <si>
    <t xml:space="preserve">Tip-in</t>
  </si>
  <si>
    <t xml:space="preserve">OTHER</t>
  </si>
  <si>
    <t xml:space="preserve">Any other 2-pointer (keep this rare)</t>
  </si>
  <si>
    <t xml:space="preserve">THREE</t>
  </si>
  <si>
    <t xml:space="preserve">Three-pointer, no location noted</t>
  </si>
  <si>
    <t xml:space="preserve">CORNER</t>
  </si>
  <si>
    <t xml:space="preserve">Corner three</t>
  </si>
  <si>
    <t xml:space="preserve">WING</t>
  </si>
  <si>
    <t xml:space="preserve">Wing or top-of-key three</t>
  </si>
  <si>
    <t xml:space="preserve">Add or rename codes here (keep within rows 3-14 so the drop-down and Summary pick them up). Fix them before you start.</t>
  </si>
  <si>
    <t xml:space="preserve">Summary - how your data is shaping up</t>
  </si>
  <si>
    <t xml:space="preserve">Targets and rates (from the assessment brief)</t>
  </si>
  <si>
    <t xml:space="preserve">Items needed for full Part 2 data marks</t>
  </si>
  <si>
    <t xml:space="preserve">Part 2: 100 items for full marks.</t>
  </si>
  <si>
    <t xml:space="preserve">Extra buffer to collect</t>
  </si>
  <si>
    <t xml:space="preserve">Slack for mistakes; change as you like.</t>
  </si>
  <si>
    <t xml:space="preserve">Collection goal</t>
  </si>
  <si>
    <t xml:space="preserve">Target plus buffer.</t>
  </si>
  <si>
    <t xml:space="preserve">Part 1: marks per data item shown</t>
  </si>
  <si>
    <t xml:space="preserve">1 mark per item.</t>
  </si>
  <si>
    <t xml:space="preserve">Part 1: maximum data marks</t>
  </si>
  <si>
    <t xml:space="preserve">Capped at 25.</t>
  </si>
  <si>
    <t xml:space="preserve">Part 2: marks per data item</t>
  </si>
  <si>
    <t xml:space="preserve">0.25 marks per item.</t>
  </si>
  <si>
    <t xml:space="preserve">Part 2: maximum data marks</t>
  </si>
  <si>
    <t xml:space="preserve">Progress</t>
  </si>
  <si>
    <t xml:space="preserve">Scores logged</t>
  </si>
  <si>
    <t xml:space="preserve">Count of rows with a points value.</t>
  </si>
  <si>
    <t xml:space="preserve">Progress to collection goal</t>
  </si>
  <si>
    <t xml:space="preserve">Scores still needed for goal</t>
  </si>
  <si>
    <t xml:space="preserve">Part 1 data marks (estimate, out of 25)</t>
  </si>
  <si>
    <t xml:space="preserve">If you showed all logged items at the check-in.</t>
  </si>
  <si>
    <t xml:space="preserve">Part 2 data marks (estimate, out of 25)</t>
  </si>
  <si>
    <t xml:space="preserve">100 items = 25.</t>
  </si>
  <si>
    <t xml:space="preserve">Rows needing a check</t>
  </si>
  <si>
    <t xml:space="preserve">Fix these on the Score Log (see the check column).</t>
  </si>
  <si>
    <t xml:space="preserve">Scores by point value</t>
  </si>
  <si>
    <t xml:space="preserve">Scores</t>
  </si>
  <si>
    <t xml:space="preserve">Share of scores</t>
  </si>
  <si>
    <t xml:space="preserve">Total points</t>
  </si>
  <si>
    <t xml:space="preserve">Total</t>
  </si>
  <si>
    <t xml:space="preserve">Scores by type</t>
  </si>
  <si>
    <t xml:space="preserve">Type code</t>
  </si>
  <si>
    <t xml:space="preserve">Quality checks</t>
  </si>
  <si>
    <t xml:space="preserve">OTHER as a share of all 2-pointers</t>
  </si>
  <si>
    <t xml:space="preserve">Limit for OTHER (share of 2s)</t>
  </si>
  <si>
    <t xml:space="preserve">Rule of thumb from my suggestion (about 10%).</t>
  </si>
  <si>
    <t xml:space="preserve">Share of scores that were assisted</t>
  </si>
  <si>
    <t xml:space="preserve">Based on rows where assisted is filled in.</t>
  </si>
  <si>
    <t xml:space="preserve">Sessions and GitHub tracker</t>
  </si>
  <si>
    <t xml:space="preserve">Planned dates are Mondays and Wednesdays from 19 Oct 2026 - edit to match when you actually play. Mark Y once you've committed that day's .csv.</t>
  </si>
  <si>
    <t xml:space="preserve">Date</t>
  </si>
  <si>
    <t xml:space="preserve">Day</t>
  </si>
  <si>
    <t xml:space="preserve">GitHub commit made? (Y/N)</t>
  </si>
  <si>
    <t xml:space="preserve">Notes</t>
  </si>
  <si>
    <t xml:space="preserve">Measure</t>
  </si>
  <si>
    <t xml:space="preserve">Value</t>
  </si>
  <si>
    <t xml:space="preserve">Commit days (marked Y)</t>
  </si>
  <si>
    <t xml:space="preserve">First commit date</t>
  </si>
  <si>
    <t xml:space="preserve">Last commit date</t>
  </si>
  <si>
    <t xml:space="preserve">Commit span (days)</t>
  </si>
  <si>
    <t xml:space="preserve">Marks per commit day</t>
  </si>
  <si>
    <t xml:space="preserve">Max commit days counted</t>
  </si>
  <si>
    <t xml:space="preserve">Span bonus 1: more than (days)</t>
  </si>
  <si>
    <t xml:space="preserve">Span bonus 2: more than (days)</t>
  </si>
  <si>
    <t xml:space="preserve">Marks per span bonus</t>
  </si>
  <si>
    <t xml:space="preserve">Part 1 GitHub marks (estimate)</t>
  </si>
  <si>
    <t xml:space="preserve">Rules from the brief: 5 marks per commit on separate days (up to 3), +5 if span &gt; 1 week, +5 if &gt; 2 weeks. Mark each date only once so days aren't double counted.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</si>
</sst>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0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30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</row>
    <row r="6" customFormat="false" ht="30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</row>
    <row r="7" customFormat="false" ht="30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</row>
    <row r="8" customFormat="false" ht="30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</row>
    <row r="9" customFormat="false" ht="30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</row>
    <row r="10" customFormat="false" ht="30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  <c r="G10" s="5"/>
    </row>
    <row r="12" customFormat="false" ht="15" hidden="false" customHeight="false" outlineLevel="0" collapsed="false">
      <c r="A12" s="3" t="s">
        <v>15</v>
      </c>
      <c r="B12" s="3"/>
    </row>
    <row r="13" customFormat="false" ht="30" hidden="false" customHeight="true" outlineLevel="0" collapsed="false">
      <c r="A13" s="6" t="s">
        <v>16</v>
      </c>
      <c r="B13" s="5" t="s">
        <v>17</v>
      </c>
      <c r="C13" s="5"/>
      <c r="D13" s="5"/>
      <c r="E13" s="5"/>
      <c r="F13" s="5"/>
      <c r="G13" s="5"/>
    </row>
    <row r="14" customFormat="false" ht="30" hidden="false" customHeight="true" outlineLevel="0" collapsed="false">
      <c r="A14" s="5" t="s">
        <v>18</v>
      </c>
      <c r="B14" s="5" t="s">
        <v>19</v>
      </c>
      <c r="C14" s="5"/>
      <c r="D14" s="5"/>
      <c r="E14" s="5"/>
      <c r="F14" s="5"/>
      <c r="G14" s="5"/>
    </row>
    <row r="15" customFormat="false" ht="30" hidden="false" customHeight="true" outlineLevel="0" collapsed="false">
      <c r="A15" s="7" t="s">
        <v>20</v>
      </c>
      <c r="B15" s="5" t="s">
        <v>21</v>
      </c>
      <c r="C15" s="5"/>
      <c r="D15" s="5"/>
      <c r="E15" s="5"/>
      <c r="F15" s="5"/>
      <c r="G15" s="5"/>
    </row>
    <row r="16" customFormat="false" ht="30" hidden="false" customHeight="true" outlineLevel="0" collapsed="false">
      <c r="A16" s="8" t="s">
        <v>22</v>
      </c>
      <c r="B16" s="5" t="s">
        <v>23</v>
      </c>
      <c r="C16" s="5"/>
      <c r="D16" s="5"/>
      <c r="E16" s="5"/>
      <c r="F16" s="5"/>
      <c r="G16" s="5"/>
    </row>
    <row r="17" customFormat="false" ht="30" hidden="false" customHeight="true" outlineLevel="0" collapsed="false">
      <c r="A17" s="9" t="s">
        <v>24</v>
      </c>
      <c r="B17" s="5" t="s">
        <v>25</v>
      </c>
      <c r="C17" s="5"/>
      <c r="D17" s="5"/>
      <c r="E17" s="5"/>
      <c r="F17" s="5"/>
      <c r="G17" s="5"/>
    </row>
    <row r="19" customFormat="false" ht="15" hidden="false" customHeight="false" outlineLevel="0" collapsed="false">
      <c r="A19" s="3" t="s">
        <v>26</v>
      </c>
      <c r="B19" s="3"/>
      <c r="C19" s="3"/>
      <c r="D19" s="3"/>
      <c r="E19" s="3"/>
      <c r="F19" s="3"/>
      <c r="G19" s="3"/>
    </row>
    <row r="20" customFormat="false" ht="15" hidden="false" customHeight="false" outlineLevel="0" collapsed="false">
      <c r="A20" s="10" t="s">
        <v>27</v>
      </c>
      <c r="B20" s="10" t="s">
        <v>28</v>
      </c>
      <c r="C20" s="10" t="s">
        <v>29</v>
      </c>
      <c r="D20" s="10" t="s">
        <v>30</v>
      </c>
      <c r="E20" s="10" t="s">
        <v>31</v>
      </c>
      <c r="F20" s="10" t="s">
        <v>32</v>
      </c>
      <c r="G20" s="10" t="s">
        <v>33</v>
      </c>
    </row>
    <row r="21" customFormat="false" ht="15" hidden="false" customHeight="false" outlineLevel="0" collapsed="false">
      <c r="A21" s="4" t="n">
        <v>1</v>
      </c>
      <c r="B21" s="11" t="n">
        <v>46314</v>
      </c>
      <c r="C21" s="4" t="n">
        <v>1</v>
      </c>
      <c r="D21" s="4" t="s">
        <v>34</v>
      </c>
      <c r="E21" s="4" t="n">
        <v>2</v>
      </c>
      <c r="F21" s="4" t="s">
        <v>35</v>
      </c>
      <c r="G21" s="4" t="s">
        <v>36</v>
      </c>
    </row>
    <row r="23" customFormat="false" ht="15" hidden="false" customHeight="false" outlineLevel="0" collapsed="false">
      <c r="A23" s="3" t="s">
        <v>37</v>
      </c>
      <c r="B23" s="3"/>
    </row>
    <row r="24" customFormat="false" ht="30" hidden="false" customHeight="true" outlineLevel="0" collapsed="false">
      <c r="A24" s="12" t="s">
        <v>38</v>
      </c>
      <c r="B24" s="13" t="s">
        <v>39</v>
      </c>
      <c r="C24" s="13"/>
      <c r="D24" s="13"/>
      <c r="E24" s="13"/>
      <c r="F24" s="13"/>
      <c r="G24" s="13"/>
    </row>
    <row r="25" customFormat="false" ht="30" hidden="false" customHeight="true" outlineLevel="0" collapsed="false">
      <c r="A25" s="12" t="s">
        <v>38</v>
      </c>
      <c r="B25" s="13" t="s">
        <v>40</v>
      </c>
      <c r="C25" s="13"/>
      <c r="D25" s="13"/>
      <c r="E25" s="13"/>
      <c r="F25" s="13"/>
      <c r="G25" s="13"/>
    </row>
    <row r="26" customFormat="false" ht="30" hidden="false" customHeight="true" outlineLevel="0" collapsed="false">
      <c r="A26" s="12" t="s">
        <v>38</v>
      </c>
      <c r="B26" s="13" t="s">
        <v>41</v>
      </c>
      <c r="C26" s="13"/>
      <c r="D26" s="13"/>
      <c r="E26" s="13"/>
      <c r="F26" s="13"/>
      <c r="G26" s="13"/>
    </row>
    <row r="27" customFormat="false" ht="30" hidden="false" customHeight="true" outlineLevel="0" collapsed="false">
      <c r="A27" s="12" t="s">
        <v>38</v>
      </c>
      <c r="B27" s="13" t="s">
        <v>42</v>
      </c>
      <c r="C27" s="13"/>
      <c r="D27" s="13"/>
      <c r="E27" s="13"/>
      <c r="F27" s="13"/>
      <c r="G27" s="13"/>
    </row>
    <row r="28" customFormat="false" ht="30" hidden="false" customHeight="true" outlineLevel="0" collapsed="false">
      <c r="A28" s="12" t="s">
        <v>38</v>
      </c>
      <c r="B28" s="13" t="s">
        <v>43</v>
      </c>
      <c r="C28" s="13"/>
      <c r="D28" s="13"/>
      <c r="E28" s="13"/>
      <c r="F28" s="13"/>
      <c r="G28" s="13"/>
    </row>
    <row r="29" customFormat="false" ht="30" hidden="false" customHeight="true" outlineLevel="0" collapsed="false">
      <c r="A29" s="12" t="s">
        <v>38</v>
      </c>
      <c r="B29" s="13" t="s">
        <v>44</v>
      </c>
      <c r="C29" s="13"/>
      <c r="D29" s="13"/>
      <c r="E29" s="13"/>
      <c r="F29" s="13"/>
      <c r="G29" s="13"/>
    </row>
    <row r="30" customFormat="false" ht="30" hidden="false" customHeight="true" outlineLevel="0" collapsed="false">
      <c r="A30" s="12" t="s">
        <v>38</v>
      </c>
      <c r="B30" s="13" t="s">
        <v>45</v>
      </c>
      <c r="C30" s="13"/>
      <c r="D30" s="13"/>
      <c r="E30" s="13"/>
      <c r="F30" s="13"/>
      <c r="G30" s="13"/>
    </row>
  </sheetData>
  <mergeCells count="18">
    <mergeCell ref="B5:G5"/>
    <mergeCell ref="B6:G6"/>
    <mergeCell ref="B7:G7"/>
    <mergeCell ref="B8:G8"/>
    <mergeCell ref="B9:G9"/>
    <mergeCell ref="B10:G10"/>
    <mergeCell ref="B13:G13"/>
    <mergeCell ref="B14:G14"/>
    <mergeCell ref="B15:G15"/>
    <mergeCell ref="B16:G16"/>
    <mergeCell ref="B17:G17"/>
    <mergeCell ref="B24:G24"/>
    <mergeCell ref="B25:G25"/>
    <mergeCell ref="B26:G26"/>
    <mergeCell ref="B27:G27"/>
    <mergeCell ref="B28:G28"/>
    <mergeCell ref="B29:G29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4" t="s">
        <v>46</v>
      </c>
    </row>
    <row r="2" customFormat="false" ht="15" hidden="false" customHeight="false" outlineLevel="0" collapsed="false">
      <c r="A2" s="15"/>
      <c r="B2" s="16"/>
      <c r="C2" s="15"/>
      <c r="D2" s="15"/>
      <c r="E2" s="15"/>
      <c r="F2" s="15"/>
      <c r="G2" s="15"/>
      <c r="H2" s="17" t="str">
        <f aca="false">IF(E2="","",IF(F2="","check type",IF(IFERROR(INDEX(Codes!$B$3:$B$14,MATCH(F2,Codes!$A$3:$A$14,0)),0)=E2,"OK","points/type mismatch")))</f>
        <v/>
      </c>
    </row>
    <row r="3" customFormat="false" ht="15" hidden="false" customHeight="false" outlineLevel="0" collapsed="false">
      <c r="A3" s="15"/>
      <c r="B3" s="16"/>
      <c r="C3" s="15"/>
      <c r="D3" s="15"/>
      <c r="E3" s="15"/>
      <c r="F3" s="15"/>
      <c r="G3" s="15"/>
      <c r="H3" s="17" t="str">
        <f aca="false">IF(E3="","",IF(F3="","check type",IF(IFERROR(INDEX(Codes!$B$3:$B$14,MATCH(F3,Codes!$A$3:$A$14,0)),0)=E3,"OK","points/type mismatch")))</f>
        <v/>
      </c>
    </row>
    <row r="4" customFormat="false" ht="15" hidden="false" customHeight="false" outlineLevel="0" collapsed="false">
      <c r="A4" s="15"/>
      <c r="B4" s="16"/>
      <c r="C4" s="15"/>
      <c r="D4" s="15"/>
      <c r="E4" s="15"/>
      <c r="F4" s="15"/>
      <c r="G4" s="15"/>
      <c r="H4" s="17" t="str">
        <f aca="false">IF(E4="","",IF(F4="","check type",IF(IFERROR(INDEX(Codes!$B$3:$B$14,MATCH(F4,Codes!$A$3:$A$14,0)),0)=E4,"OK","points/type mismatch")))</f>
        <v/>
      </c>
    </row>
    <row r="5" customFormat="false" ht="15" hidden="false" customHeight="false" outlineLevel="0" collapsed="false">
      <c r="A5" s="15"/>
      <c r="B5" s="16"/>
      <c r="C5" s="15"/>
      <c r="D5" s="15"/>
      <c r="E5" s="15"/>
      <c r="F5" s="15"/>
      <c r="G5" s="15"/>
      <c r="H5" s="17" t="str">
        <f aca="false">IF(E5="","",IF(F5="","check type",IF(IFERROR(INDEX(Codes!$B$3:$B$14,MATCH(F5,Codes!$A$3:$A$14,0)),0)=E5,"OK","points/type mismatch")))</f>
        <v/>
      </c>
    </row>
    <row r="6" customFormat="false" ht="15" hidden="false" customHeight="false" outlineLevel="0" collapsed="false">
      <c r="A6" s="15"/>
      <c r="B6" s="16"/>
      <c r="C6" s="15"/>
      <c r="D6" s="15"/>
      <c r="E6" s="15"/>
      <c r="F6" s="15"/>
      <c r="G6" s="15"/>
      <c r="H6" s="17" t="str">
        <f aca="false">IF(E6="","",IF(F6="","check type",IF(IFERROR(INDEX(Codes!$B$3:$B$14,MATCH(F6,Codes!$A$3:$A$14,0)),0)=E6,"OK","points/type mismatch")))</f>
        <v/>
      </c>
    </row>
    <row r="7" customFormat="false" ht="15" hidden="false" customHeight="false" outlineLevel="0" collapsed="false">
      <c r="A7" s="15"/>
      <c r="B7" s="16"/>
      <c r="C7" s="15"/>
      <c r="D7" s="15"/>
      <c r="E7" s="15"/>
      <c r="F7" s="15"/>
      <c r="G7" s="15"/>
      <c r="H7" s="17" t="str">
        <f aca="false">IF(E7="","",IF(F7="","check type",IF(IFERROR(INDEX(Codes!$B$3:$B$14,MATCH(F7,Codes!$A$3:$A$14,0)),0)=E7,"OK","points/type mismatch")))</f>
        <v/>
      </c>
    </row>
    <row r="8" customFormat="false" ht="15" hidden="false" customHeight="false" outlineLevel="0" collapsed="false">
      <c r="A8" s="15"/>
      <c r="B8" s="16"/>
      <c r="C8" s="15"/>
      <c r="D8" s="15"/>
      <c r="E8" s="15"/>
      <c r="F8" s="15"/>
      <c r="G8" s="15"/>
      <c r="H8" s="17" t="str">
        <f aca="false">IF(E8="","",IF(F8="","check type",IF(IFERROR(INDEX(Codes!$B$3:$B$14,MATCH(F8,Codes!$A$3:$A$14,0)),0)=E8,"OK","points/type mismatch")))</f>
        <v/>
      </c>
    </row>
    <row r="9" customFormat="false" ht="15" hidden="false" customHeight="false" outlineLevel="0" collapsed="false">
      <c r="A9" s="15"/>
      <c r="B9" s="16"/>
      <c r="C9" s="15"/>
      <c r="D9" s="15"/>
      <c r="E9" s="15"/>
      <c r="F9" s="15"/>
      <c r="G9" s="15"/>
      <c r="H9" s="17" t="str">
        <f aca="false">IF(E9="","",IF(F9="","check type",IF(IFERROR(INDEX(Codes!$B$3:$B$14,MATCH(F9,Codes!$A$3:$A$14,0)),0)=E9,"OK","points/type mismatch")))</f>
        <v/>
      </c>
    </row>
    <row r="10" customFormat="false" ht="15" hidden="false" customHeight="false" outlineLevel="0" collapsed="false">
      <c r="A10" s="15"/>
      <c r="B10" s="16"/>
      <c r="C10" s="15"/>
      <c r="D10" s="15"/>
      <c r="E10" s="15"/>
      <c r="F10" s="15"/>
      <c r="G10" s="15"/>
      <c r="H10" s="17" t="str">
        <f aca="false">IF(E10="","",IF(F10="","check type",IF(IFERROR(INDEX(Codes!$B$3:$B$14,MATCH(F10,Codes!$A$3:$A$14,0)),0)=E10,"OK","points/type mismatch")))</f>
        <v/>
      </c>
    </row>
    <row r="11" customFormat="false" ht="15" hidden="false" customHeight="false" outlineLevel="0" collapsed="false">
      <c r="A11" s="15"/>
      <c r="B11" s="16"/>
      <c r="C11" s="15"/>
      <c r="D11" s="15"/>
      <c r="E11" s="15"/>
      <c r="F11" s="15"/>
      <c r="G11" s="15"/>
      <c r="H11" s="17" t="str">
        <f aca="false">IF(E11="","",IF(F11="","check type",IF(IFERROR(INDEX(Codes!$B$3:$B$14,MATCH(F11,Codes!$A$3:$A$14,0)),0)=E11,"OK","points/type mismatch")))</f>
        <v/>
      </c>
    </row>
    <row r="12" customFormat="false" ht="15" hidden="false" customHeight="false" outlineLevel="0" collapsed="false">
      <c r="A12" s="15"/>
      <c r="B12" s="16"/>
      <c r="C12" s="15"/>
      <c r="D12" s="15"/>
      <c r="E12" s="15"/>
      <c r="F12" s="15"/>
      <c r="G12" s="15"/>
      <c r="H12" s="17" t="str">
        <f aca="false">IF(E12="","",IF(F12="","check type",IF(IFERROR(INDEX(Codes!$B$3:$B$14,MATCH(F12,Codes!$A$3:$A$14,0)),0)=E12,"OK","points/type mismatch")))</f>
        <v/>
      </c>
    </row>
    <row r="13" customFormat="false" ht="15" hidden="false" customHeight="false" outlineLevel="0" collapsed="false">
      <c r="A13" s="15"/>
      <c r="B13" s="16"/>
      <c r="C13" s="15"/>
      <c r="D13" s="15"/>
      <c r="E13" s="15"/>
      <c r="F13" s="15"/>
      <c r="G13" s="15"/>
      <c r="H13" s="17" t="str">
        <f aca="false">IF(E13="","",IF(F13="","check type",IF(IFERROR(INDEX(Codes!$B$3:$B$14,MATCH(F13,Codes!$A$3:$A$14,0)),0)=E13,"OK","points/type mismatch")))</f>
        <v/>
      </c>
    </row>
    <row r="14" customFormat="false" ht="15" hidden="false" customHeight="false" outlineLevel="0" collapsed="false">
      <c r="A14" s="15"/>
      <c r="B14" s="16"/>
      <c r="C14" s="15"/>
      <c r="D14" s="15"/>
      <c r="E14" s="15"/>
      <c r="F14" s="15"/>
      <c r="G14" s="15"/>
      <c r="H14" s="17" t="str">
        <f aca="false">IF(E14="","",IF(F14="","check type",IF(IFERROR(INDEX(Codes!$B$3:$B$14,MATCH(F14,Codes!$A$3:$A$14,0)),0)=E14,"OK","points/type mismatch")))</f>
        <v/>
      </c>
    </row>
    <row r="15" customFormat="false" ht="15" hidden="false" customHeight="false" outlineLevel="0" collapsed="false">
      <c r="A15" s="15"/>
      <c r="B15" s="16"/>
      <c r="C15" s="15"/>
      <c r="D15" s="15"/>
      <c r="E15" s="15"/>
      <c r="F15" s="15"/>
      <c r="G15" s="15"/>
      <c r="H15" s="17" t="str">
        <f aca="false">IF(E15="","",IF(F15="","check type",IF(IFERROR(INDEX(Codes!$B$3:$B$14,MATCH(F15,Codes!$A$3:$A$14,0)),0)=E15,"OK","points/type mismatch")))</f>
        <v/>
      </c>
    </row>
    <row r="16" customFormat="false" ht="15" hidden="false" customHeight="false" outlineLevel="0" collapsed="false">
      <c r="A16" s="15"/>
      <c r="B16" s="16"/>
      <c r="C16" s="15"/>
      <c r="D16" s="15"/>
      <c r="E16" s="15"/>
      <c r="F16" s="15"/>
      <c r="G16" s="15"/>
      <c r="H16" s="17" t="str">
        <f aca="false">IF(E16="","",IF(F16="","check type",IF(IFERROR(INDEX(Codes!$B$3:$B$14,MATCH(F16,Codes!$A$3:$A$14,0)),0)=E16,"OK","points/type mismatch")))</f>
        <v/>
      </c>
    </row>
    <row r="17" customFormat="false" ht="15" hidden="false" customHeight="false" outlineLevel="0" collapsed="false">
      <c r="A17" s="15"/>
      <c r="B17" s="16"/>
      <c r="C17" s="15"/>
      <c r="D17" s="15"/>
      <c r="E17" s="15"/>
      <c r="F17" s="15"/>
      <c r="G17" s="15"/>
      <c r="H17" s="17" t="str">
        <f aca="false">IF(E17="","",IF(F17="","check type",IF(IFERROR(INDEX(Codes!$B$3:$B$14,MATCH(F17,Codes!$A$3:$A$14,0)),0)=E17,"OK","points/type mismatch")))</f>
        <v/>
      </c>
    </row>
    <row r="18" customFormat="false" ht="15" hidden="false" customHeight="false" outlineLevel="0" collapsed="false">
      <c r="A18" s="15"/>
      <c r="B18" s="16"/>
      <c r="C18" s="15"/>
      <c r="D18" s="15"/>
      <c r="E18" s="15"/>
      <c r="F18" s="15"/>
      <c r="G18" s="15"/>
      <c r="H18" s="17" t="str">
        <f aca="false">IF(E18="","",IF(F18="","check type",IF(IFERROR(INDEX(Codes!$B$3:$B$14,MATCH(F18,Codes!$A$3:$A$14,0)),0)=E18,"OK","points/type mismatch")))</f>
        <v/>
      </c>
    </row>
    <row r="19" customFormat="false" ht="15" hidden="false" customHeight="false" outlineLevel="0" collapsed="false">
      <c r="A19" s="15"/>
      <c r="B19" s="16"/>
      <c r="C19" s="15"/>
      <c r="D19" s="15"/>
      <c r="E19" s="15"/>
      <c r="F19" s="15"/>
      <c r="G19" s="15"/>
      <c r="H19" s="17" t="str">
        <f aca="false">IF(E19="","",IF(F19="","check type",IF(IFERROR(INDEX(Codes!$B$3:$B$14,MATCH(F19,Codes!$A$3:$A$14,0)),0)=E19,"OK","points/type mismatch")))</f>
        <v/>
      </c>
    </row>
    <row r="20" customFormat="false" ht="15" hidden="false" customHeight="false" outlineLevel="0" collapsed="false">
      <c r="A20" s="15"/>
      <c r="B20" s="16"/>
      <c r="C20" s="15"/>
      <c r="D20" s="15"/>
      <c r="E20" s="15"/>
      <c r="F20" s="15"/>
      <c r="G20" s="15"/>
      <c r="H20" s="17" t="str">
        <f aca="false">IF(E20="","",IF(F20="","check type",IF(IFERROR(INDEX(Codes!$B$3:$B$14,MATCH(F20,Codes!$A$3:$A$14,0)),0)=E20,"OK","points/type mismatch")))</f>
        <v/>
      </c>
    </row>
    <row r="21" customFormat="false" ht="15" hidden="false" customHeight="false" outlineLevel="0" collapsed="false">
      <c r="A21" s="15"/>
      <c r="B21" s="16"/>
      <c r="C21" s="15"/>
      <c r="D21" s="15"/>
      <c r="E21" s="15"/>
      <c r="F21" s="15"/>
      <c r="G21" s="15"/>
      <c r="H21" s="17" t="str">
        <f aca="false">IF(E21="","",IF(F21="","check type",IF(IFERROR(INDEX(Codes!$B$3:$B$14,MATCH(F21,Codes!$A$3:$A$14,0)),0)=E21,"OK","points/type mismatch")))</f>
        <v/>
      </c>
    </row>
    <row r="22" customFormat="false" ht="15" hidden="false" customHeight="false" outlineLevel="0" collapsed="false">
      <c r="A22" s="15"/>
      <c r="B22" s="16"/>
      <c r="C22" s="15"/>
      <c r="D22" s="15"/>
      <c r="E22" s="15"/>
      <c r="F22" s="15"/>
      <c r="G22" s="15"/>
      <c r="H22" s="17" t="str">
        <f aca="false">IF(E22="","",IF(F22="","check type",IF(IFERROR(INDEX(Codes!$B$3:$B$14,MATCH(F22,Codes!$A$3:$A$14,0)),0)=E22,"OK","points/type mismatch")))</f>
        <v/>
      </c>
    </row>
    <row r="23" customFormat="false" ht="15" hidden="false" customHeight="false" outlineLevel="0" collapsed="false">
      <c r="A23" s="15"/>
      <c r="B23" s="16"/>
      <c r="C23" s="15"/>
      <c r="D23" s="15"/>
      <c r="E23" s="15"/>
      <c r="F23" s="15"/>
      <c r="G23" s="15"/>
      <c r="H23" s="17" t="str">
        <f aca="false">IF(E23="","",IF(F23="","check type",IF(IFERROR(INDEX(Codes!$B$3:$B$14,MATCH(F23,Codes!$A$3:$A$14,0)),0)=E23,"OK","points/type mismatch")))</f>
        <v/>
      </c>
    </row>
    <row r="24" customFormat="false" ht="15" hidden="false" customHeight="false" outlineLevel="0" collapsed="false">
      <c r="A24" s="15"/>
      <c r="B24" s="16"/>
      <c r="C24" s="15"/>
      <c r="D24" s="15"/>
      <c r="E24" s="15"/>
      <c r="F24" s="15"/>
      <c r="G24" s="15"/>
      <c r="H24" s="17" t="str">
        <f aca="false">IF(E24="","",IF(F24="","check type",IF(IFERROR(INDEX(Codes!$B$3:$B$14,MATCH(F24,Codes!$A$3:$A$14,0)),0)=E24,"OK","points/type mismatch")))</f>
        <v/>
      </c>
    </row>
    <row r="25" customFormat="false" ht="15" hidden="false" customHeight="false" outlineLevel="0" collapsed="false">
      <c r="A25" s="15"/>
      <c r="B25" s="16"/>
      <c r="C25" s="15"/>
      <c r="D25" s="15"/>
      <c r="E25" s="15"/>
      <c r="F25" s="15"/>
      <c r="G25" s="15"/>
      <c r="H25" s="17" t="str">
        <f aca="false">IF(E25="","",IF(F25="","check type",IF(IFERROR(INDEX(Codes!$B$3:$B$14,MATCH(F25,Codes!$A$3:$A$14,0)),0)=E25,"OK","points/type mismatch")))</f>
        <v/>
      </c>
    </row>
    <row r="26" customFormat="false" ht="15" hidden="false" customHeight="false" outlineLevel="0" collapsed="false">
      <c r="A26" s="15"/>
      <c r="B26" s="16"/>
      <c r="C26" s="15"/>
      <c r="D26" s="15"/>
      <c r="E26" s="15"/>
      <c r="F26" s="15"/>
      <c r="G26" s="15"/>
      <c r="H26" s="17" t="str">
        <f aca="false">IF(E26="","",IF(F26="","check type",IF(IFERROR(INDEX(Codes!$B$3:$B$14,MATCH(F26,Codes!$A$3:$A$14,0)),0)=E26,"OK","points/type mismatch")))</f>
        <v/>
      </c>
    </row>
    <row r="27" customFormat="false" ht="15" hidden="false" customHeight="false" outlineLevel="0" collapsed="false">
      <c r="A27" s="15"/>
      <c r="B27" s="16"/>
      <c r="C27" s="15"/>
      <c r="D27" s="15"/>
      <c r="E27" s="15"/>
      <c r="F27" s="15"/>
      <c r="G27" s="15"/>
      <c r="H27" s="17" t="str">
        <f aca="false">IF(E27="","",IF(F27="","check type",IF(IFERROR(INDEX(Codes!$B$3:$B$14,MATCH(F27,Codes!$A$3:$A$14,0)),0)=E27,"OK","points/type mismatch")))</f>
        <v/>
      </c>
    </row>
    <row r="28" customFormat="false" ht="15" hidden="false" customHeight="false" outlineLevel="0" collapsed="false">
      <c r="A28" s="15"/>
      <c r="B28" s="16"/>
      <c r="C28" s="15"/>
      <c r="D28" s="15"/>
      <c r="E28" s="15"/>
      <c r="F28" s="15"/>
      <c r="G28" s="15"/>
      <c r="H28" s="17" t="str">
        <f aca="false">IF(E28="","",IF(F28="","check type",IF(IFERROR(INDEX(Codes!$B$3:$B$14,MATCH(F28,Codes!$A$3:$A$14,0)),0)=E28,"OK","points/type mismatch")))</f>
        <v/>
      </c>
    </row>
    <row r="29" customFormat="false" ht="15" hidden="false" customHeight="false" outlineLevel="0" collapsed="false">
      <c r="A29" s="15"/>
      <c r="B29" s="16"/>
      <c r="C29" s="15"/>
      <c r="D29" s="15"/>
      <c r="E29" s="15"/>
      <c r="F29" s="15"/>
      <c r="G29" s="15"/>
      <c r="H29" s="17" t="str">
        <f aca="false">IF(E29="","",IF(F29="","check type",IF(IFERROR(INDEX(Codes!$B$3:$B$14,MATCH(F29,Codes!$A$3:$A$14,0)),0)=E29,"OK","points/type mismatch")))</f>
        <v/>
      </c>
    </row>
    <row r="30" customFormat="false" ht="15" hidden="false" customHeight="false" outlineLevel="0" collapsed="false">
      <c r="A30" s="15"/>
      <c r="B30" s="16"/>
      <c r="C30" s="15"/>
      <c r="D30" s="15"/>
      <c r="E30" s="15"/>
      <c r="F30" s="15"/>
      <c r="G30" s="15"/>
      <c r="H30" s="17" t="str">
        <f aca="false">IF(E30="","",IF(F30="","check type",IF(IFERROR(INDEX(Codes!$B$3:$B$14,MATCH(F30,Codes!$A$3:$A$14,0)),0)=E30,"OK","points/type mismatch")))</f>
        <v/>
      </c>
    </row>
    <row r="31" customFormat="false" ht="15" hidden="false" customHeight="false" outlineLevel="0" collapsed="false">
      <c r="A31" s="15"/>
      <c r="B31" s="16"/>
      <c r="C31" s="15"/>
      <c r="D31" s="15"/>
      <c r="E31" s="15"/>
      <c r="F31" s="15"/>
      <c r="G31" s="15"/>
      <c r="H31" s="17" t="str">
        <f aca="false">IF(E31="","",IF(F31="","check type",IF(IFERROR(INDEX(Codes!$B$3:$B$14,MATCH(F31,Codes!$A$3:$A$14,0)),0)=E31,"OK","points/type mismatch")))</f>
        <v/>
      </c>
    </row>
    <row r="32" customFormat="false" ht="15" hidden="false" customHeight="false" outlineLevel="0" collapsed="false">
      <c r="A32" s="15"/>
      <c r="B32" s="16"/>
      <c r="C32" s="15"/>
      <c r="D32" s="15"/>
      <c r="E32" s="15"/>
      <c r="F32" s="15"/>
      <c r="G32" s="15"/>
      <c r="H32" s="17" t="str">
        <f aca="false">IF(E32="","",IF(F32="","check type",IF(IFERROR(INDEX(Codes!$B$3:$B$14,MATCH(F32,Codes!$A$3:$A$14,0)),0)=E32,"OK","points/type mismatch")))</f>
        <v/>
      </c>
    </row>
    <row r="33" customFormat="false" ht="15" hidden="false" customHeight="false" outlineLevel="0" collapsed="false">
      <c r="A33" s="15"/>
      <c r="B33" s="16"/>
      <c r="C33" s="15"/>
      <c r="D33" s="15"/>
      <c r="E33" s="15"/>
      <c r="F33" s="15"/>
      <c r="G33" s="15"/>
      <c r="H33" s="17" t="str">
        <f aca="false">IF(E33="","",IF(F33="","check type",IF(IFERROR(INDEX(Codes!$B$3:$B$14,MATCH(F33,Codes!$A$3:$A$14,0)),0)=E33,"OK","points/type mismatch")))</f>
        <v/>
      </c>
    </row>
    <row r="34" customFormat="false" ht="15" hidden="false" customHeight="false" outlineLevel="0" collapsed="false">
      <c r="A34" s="15"/>
      <c r="B34" s="16"/>
      <c r="C34" s="15"/>
      <c r="D34" s="15"/>
      <c r="E34" s="15"/>
      <c r="F34" s="15"/>
      <c r="G34" s="15"/>
      <c r="H34" s="17" t="str">
        <f aca="false">IF(E34="","",IF(F34="","check type",IF(IFERROR(INDEX(Codes!$B$3:$B$14,MATCH(F34,Codes!$A$3:$A$14,0)),0)=E34,"OK","points/type mismatch")))</f>
        <v/>
      </c>
    </row>
    <row r="35" customFormat="false" ht="15" hidden="false" customHeight="false" outlineLevel="0" collapsed="false">
      <c r="A35" s="15"/>
      <c r="B35" s="16"/>
      <c r="C35" s="15"/>
      <c r="D35" s="15"/>
      <c r="E35" s="15"/>
      <c r="F35" s="15"/>
      <c r="G35" s="15"/>
      <c r="H35" s="17" t="str">
        <f aca="false">IF(E35="","",IF(F35="","check type",IF(IFERROR(INDEX(Codes!$B$3:$B$14,MATCH(F35,Codes!$A$3:$A$14,0)),0)=E35,"OK","points/type mismatch")))</f>
        <v/>
      </c>
    </row>
    <row r="36" customFormat="false" ht="15" hidden="false" customHeight="false" outlineLevel="0" collapsed="false">
      <c r="A36" s="15"/>
      <c r="B36" s="16"/>
      <c r="C36" s="15"/>
      <c r="D36" s="15"/>
      <c r="E36" s="15"/>
      <c r="F36" s="15"/>
      <c r="G36" s="15"/>
      <c r="H36" s="17" t="str">
        <f aca="false">IF(E36="","",IF(F36="","check type",IF(IFERROR(INDEX(Codes!$B$3:$B$14,MATCH(F36,Codes!$A$3:$A$14,0)),0)=E36,"OK","points/type mismatch")))</f>
        <v/>
      </c>
    </row>
    <row r="37" customFormat="false" ht="15" hidden="false" customHeight="false" outlineLevel="0" collapsed="false">
      <c r="A37" s="15"/>
      <c r="B37" s="16"/>
      <c r="C37" s="15"/>
      <c r="D37" s="15"/>
      <c r="E37" s="15"/>
      <c r="F37" s="15"/>
      <c r="G37" s="15"/>
      <c r="H37" s="17" t="str">
        <f aca="false">IF(E37="","",IF(F37="","check type",IF(IFERROR(INDEX(Codes!$B$3:$B$14,MATCH(F37,Codes!$A$3:$A$14,0)),0)=E37,"OK","points/type mismatch")))</f>
        <v/>
      </c>
    </row>
    <row r="38" customFormat="false" ht="15" hidden="false" customHeight="false" outlineLevel="0" collapsed="false">
      <c r="A38" s="15"/>
      <c r="B38" s="16"/>
      <c r="C38" s="15"/>
      <c r="D38" s="15"/>
      <c r="E38" s="15"/>
      <c r="F38" s="15"/>
      <c r="G38" s="15"/>
      <c r="H38" s="17" t="str">
        <f aca="false">IF(E38="","",IF(F38="","check type",IF(IFERROR(INDEX(Codes!$B$3:$B$14,MATCH(F38,Codes!$A$3:$A$14,0)),0)=E38,"OK","points/type mismatch")))</f>
        <v/>
      </c>
    </row>
    <row r="39" customFormat="false" ht="15" hidden="false" customHeight="false" outlineLevel="0" collapsed="false">
      <c r="A39" s="15"/>
      <c r="B39" s="16"/>
      <c r="C39" s="15"/>
      <c r="D39" s="15"/>
      <c r="E39" s="15"/>
      <c r="F39" s="15"/>
      <c r="G39" s="15"/>
      <c r="H39" s="17" t="str">
        <f aca="false">IF(E39="","",IF(F39="","check type",IF(IFERROR(INDEX(Codes!$B$3:$B$14,MATCH(F39,Codes!$A$3:$A$14,0)),0)=E39,"OK","points/type mismatch")))</f>
        <v/>
      </c>
    </row>
    <row r="40" customFormat="false" ht="15" hidden="false" customHeight="false" outlineLevel="0" collapsed="false">
      <c r="A40" s="15"/>
      <c r="B40" s="16"/>
      <c r="C40" s="15"/>
      <c r="D40" s="15"/>
      <c r="E40" s="15"/>
      <c r="F40" s="15"/>
      <c r="G40" s="15"/>
      <c r="H40" s="17" t="str">
        <f aca="false">IF(E40="","",IF(F40="","check type",IF(IFERROR(INDEX(Codes!$B$3:$B$14,MATCH(F40,Codes!$A$3:$A$14,0)),0)=E40,"OK","points/type mismatch")))</f>
        <v/>
      </c>
    </row>
    <row r="41" customFormat="false" ht="15" hidden="false" customHeight="false" outlineLevel="0" collapsed="false">
      <c r="A41" s="15"/>
      <c r="B41" s="16"/>
      <c r="C41" s="15"/>
      <c r="D41" s="15"/>
      <c r="E41" s="15"/>
      <c r="F41" s="15"/>
      <c r="G41" s="15"/>
      <c r="H41" s="17" t="str">
        <f aca="false">IF(E41="","",IF(F41="","check type",IF(IFERROR(INDEX(Codes!$B$3:$B$14,MATCH(F41,Codes!$A$3:$A$14,0)),0)=E41,"OK","points/type mismatch")))</f>
        <v/>
      </c>
    </row>
    <row r="42" customFormat="false" ht="15" hidden="false" customHeight="false" outlineLevel="0" collapsed="false">
      <c r="A42" s="15"/>
      <c r="B42" s="16"/>
      <c r="C42" s="15"/>
      <c r="D42" s="15"/>
      <c r="E42" s="15"/>
      <c r="F42" s="15"/>
      <c r="G42" s="15"/>
      <c r="H42" s="17" t="str">
        <f aca="false">IF(E42="","",IF(F42="","check type",IF(IFERROR(INDEX(Codes!$B$3:$B$14,MATCH(F42,Codes!$A$3:$A$14,0)),0)=E42,"OK","points/type mismatch")))</f>
        <v/>
      </c>
    </row>
    <row r="43" customFormat="false" ht="15" hidden="false" customHeight="false" outlineLevel="0" collapsed="false">
      <c r="A43" s="15"/>
      <c r="B43" s="16"/>
      <c r="C43" s="15"/>
      <c r="D43" s="15"/>
      <c r="E43" s="15"/>
      <c r="F43" s="15"/>
      <c r="G43" s="15"/>
      <c r="H43" s="17" t="str">
        <f aca="false">IF(E43="","",IF(F43="","check type",IF(IFERROR(INDEX(Codes!$B$3:$B$14,MATCH(F43,Codes!$A$3:$A$14,0)),0)=E43,"OK","points/type mismatch")))</f>
        <v/>
      </c>
    </row>
    <row r="44" customFormat="false" ht="15" hidden="false" customHeight="false" outlineLevel="0" collapsed="false">
      <c r="A44" s="15"/>
      <c r="B44" s="16"/>
      <c r="C44" s="15"/>
      <c r="D44" s="15"/>
      <c r="E44" s="15"/>
      <c r="F44" s="15"/>
      <c r="G44" s="15"/>
      <c r="H44" s="17" t="str">
        <f aca="false">IF(E44="","",IF(F44="","check type",IF(IFERROR(INDEX(Codes!$B$3:$B$14,MATCH(F44,Codes!$A$3:$A$14,0)),0)=E44,"OK","points/type mismatch")))</f>
        <v/>
      </c>
    </row>
    <row r="45" customFormat="false" ht="15" hidden="false" customHeight="false" outlineLevel="0" collapsed="false">
      <c r="A45" s="15"/>
      <c r="B45" s="16"/>
      <c r="C45" s="15"/>
      <c r="D45" s="15"/>
      <c r="E45" s="15"/>
      <c r="F45" s="15"/>
      <c r="G45" s="15"/>
      <c r="H45" s="17" t="str">
        <f aca="false">IF(E45="","",IF(F45="","check type",IF(IFERROR(INDEX(Codes!$B$3:$B$14,MATCH(F45,Codes!$A$3:$A$14,0)),0)=E45,"OK","points/type mismatch")))</f>
        <v/>
      </c>
    </row>
    <row r="46" customFormat="false" ht="15" hidden="false" customHeight="false" outlineLevel="0" collapsed="false">
      <c r="A46" s="15"/>
      <c r="B46" s="16"/>
      <c r="C46" s="15"/>
      <c r="D46" s="15"/>
      <c r="E46" s="15"/>
      <c r="F46" s="15"/>
      <c r="G46" s="15"/>
      <c r="H46" s="17" t="str">
        <f aca="false">IF(E46="","",IF(F46="","check type",IF(IFERROR(INDEX(Codes!$B$3:$B$14,MATCH(F46,Codes!$A$3:$A$14,0)),0)=E46,"OK","points/type mismatch")))</f>
        <v/>
      </c>
    </row>
    <row r="47" customFormat="false" ht="15" hidden="false" customHeight="false" outlineLevel="0" collapsed="false">
      <c r="A47" s="15"/>
      <c r="B47" s="16"/>
      <c r="C47" s="15"/>
      <c r="D47" s="15"/>
      <c r="E47" s="15"/>
      <c r="F47" s="15"/>
      <c r="G47" s="15"/>
      <c r="H47" s="17" t="str">
        <f aca="false">IF(E47="","",IF(F47="","check type",IF(IFERROR(INDEX(Codes!$B$3:$B$14,MATCH(F47,Codes!$A$3:$A$14,0)),0)=E47,"OK","points/type mismatch")))</f>
        <v/>
      </c>
    </row>
    <row r="48" customFormat="false" ht="15" hidden="false" customHeight="false" outlineLevel="0" collapsed="false">
      <c r="A48" s="15"/>
      <c r="B48" s="16"/>
      <c r="C48" s="15"/>
      <c r="D48" s="15"/>
      <c r="E48" s="15"/>
      <c r="F48" s="15"/>
      <c r="G48" s="15"/>
      <c r="H48" s="17" t="str">
        <f aca="false">IF(E48="","",IF(F48="","check type",IF(IFERROR(INDEX(Codes!$B$3:$B$14,MATCH(F48,Codes!$A$3:$A$14,0)),0)=E48,"OK","points/type mismatch")))</f>
        <v/>
      </c>
    </row>
    <row r="49" customFormat="false" ht="15" hidden="false" customHeight="false" outlineLevel="0" collapsed="false">
      <c r="A49" s="15"/>
      <c r="B49" s="16"/>
      <c r="C49" s="15"/>
      <c r="D49" s="15"/>
      <c r="E49" s="15"/>
      <c r="F49" s="15"/>
      <c r="G49" s="15"/>
      <c r="H49" s="17" t="str">
        <f aca="false">IF(E49="","",IF(F49="","check type",IF(IFERROR(INDEX(Codes!$B$3:$B$14,MATCH(F49,Codes!$A$3:$A$14,0)),0)=E49,"OK","points/type mismatch")))</f>
        <v/>
      </c>
    </row>
    <row r="50" customFormat="false" ht="15" hidden="false" customHeight="false" outlineLevel="0" collapsed="false">
      <c r="A50" s="15"/>
      <c r="B50" s="16"/>
      <c r="C50" s="15"/>
      <c r="D50" s="15"/>
      <c r="E50" s="15"/>
      <c r="F50" s="15"/>
      <c r="G50" s="15"/>
      <c r="H50" s="17" t="str">
        <f aca="false">IF(E50="","",IF(F50="","check type",IF(IFERROR(INDEX(Codes!$B$3:$B$14,MATCH(F50,Codes!$A$3:$A$14,0)),0)=E50,"OK","points/type mismatch")))</f>
        <v/>
      </c>
    </row>
    <row r="51" customFormat="false" ht="15" hidden="false" customHeight="false" outlineLevel="0" collapsed="false">
      <c r="A51" s="15"/>
      <c r="B51" s="16"/>
      <c r="C51" s="15"/>
      <c r="D51" s="15"/>
      <c r="E51" s="15"/>
      <c r="F51" s="15"/>
      <c r="G51" s="15"/>
      <c r="H51" s="17" t="str">
        <f aca="false">IF(E51="","",IF(F51="","check type",IF(IFERROR(INDEX(Codes!$B$3:$B$14,MATCH(F51,Codes!$A$3:$A$14,0)),0)=E51,"OK","points/type mismatch")))</f>
        <v/>
      </c>
    </row>
    <row r="52" customFormat="false" ht="15" hidden="false" customHeight="false" outlineLevel="0" collapsed="false">
      <c r="A52" s="15"/>
      <c r="B52" s="16"/>
      <c r="C52" s="15"/>
      <c r="D52" s="15"/>
      <c r="E52" s="15"/>
      <c r="F52" s="15"/>
      <c r="G52" s="15"/>
      <c r="H52" s="17" t="str">
        <f aca="false">IF(E52="","",IF(F52="","check type",IF(IFERROR(INDEX(Codes!$B$3:$B$14,MATCH(F52,Codes!$A$3:$A$14,0)),0)=E52,"OK","points/type mismatch")))</f>
        <v/>
      </c>
    </row>
    <row r="53" customFormat="false" ht="15" hidden="false" customHeight="false" outlineLevel="0" collapsed="false">
      <c r="A53" s="15"/>
      <c r="B53" s="16"/>
      <c r="C53" s="15"/>
      <c r="D53" s="15"/>
      <c r="E53" s="15"/>
      <c r="F53" s="15"/>
      <c r="G53" s="15"/>
      <c r="H53" s="17" t="str">
        <f aca="false">IF(E53="","",IF(F53="","check type",IF(IFERROR(INDEX(Codes!$B$3:$B$14,MATCH(F53,Codes!$A$3:$A$14,0)),0)=E53,"OK","points/type mismatch")))</f>
        <v/>
      </c>
    </row>
    <row r="54" customFormat="false" ht="15" hidden="false" customHeight="false" outlineLevel="0" collapsed="false">
      <c r="A54" s="15"/>
      <c r="B54" s="16"/>
      <c r="C54" s="15"/>
      <c r="D54" s="15"/>
      <c r="E54" s="15"/>
      <c r="F54" s="15"/>
      <c r="G54" s="15"/>
      <c r="H54" s="17" t="str">
        <f aca="false">IF(E54="","",IF(F54="","check type",IF(IFERROR(INDEX(Codes!$B$3:$B$14,MATCH(F54,Codes!$A$3:$A$14,0)),0)=E54,"OK","points/type mismatch")))</f>
        <v/>
      </c>
    </row>
    <row r="55" customFormat="false" ht="15" hidden="false" customHeight="false" outlineLevel="0" collapsed="false">
      <c r="A55" s="15"/>
      <c r="B55" s="16"/>
      <c r="C55" s="15"/>
      <c r="D55" s="15"/>
      <c r="E55" s="15"/>
      <c r="F55" s="15"/>
      <c r="G55" s="15"/>
      <c r="H55" s="17" t="str">
        <f aca="false">IF(E55="","",IF(F55="","check type",IF(IFERROR(INDEX(Codes!$B$3:$B$14,MATCH(F55,Codes!$A$3:$A$14,0)),0)=E55,"OK","points/type mismatch")))</f>
        <v/>
      </c>
    </row>
    <row r="56" customFormat="false" ht="15" hidden="false" customHeight="false" outlineLevel="0" collapsed="false">
      <c r="A56" s="15"/>
      <c r="B56" s="16"/>
      <c r="C56" s="15"/>
      <c r="D56" s="15"/>
      <c r="E56" s="15"/>
      <c r="F56" s="15"/>
      <c r="G56" s="15"/>
      <c r="H56" s="17" t="str">
        <f aca="false">IF(E56="","",IF(F56="","check type",IF(IFERROR(INDEX(Codes!$B$3:$B$14,MATCH(F56,Codes!$A$3:$A$14,0)),0)=E56,"OK","points/type mismatch")))</f>
        <v/>
      </c>
    </row>
    <row r="57" customFormat="false" ht="15" hidden="false" customHeight="false" outlineLevel="0" collapsed="false">
      <c r="A57" s="15"/>
      <c r="B57" s="16"/>
      <c r="C57" s="15"/>
      <c r="D57" s="15"/>
      <c r="E57" s="15"/>
      <c r="F57" s="15"/>
      <c r="G57" s="15"/>
      <c r="H57" s="17" t="str">
        <f aca="false">IF(E57="","",IF(F57="","check type",IF(IFERROR(INDEX(Codes!$B$3:$B$14,MATCH(F57,Codes!$A$3:$A$14,0)),0)=E57,"OK","points/type mismatch")))</f>
        <v/>
      </c>
    </row>
    <row r="58" customFormat="false" ht="15" hidden="false" customHeight="false" outlineLevel="0" collapsed="false">
      <c r="A58" s="15"/>
      <c r="B58" s="16"/>
      <c r="C58" s="15"/>
      <c r="D58" s="15"/>
      <c r="E58" s="15"/>
      <c r="F58" s="15"/>
      <c r="G58" s="15"/>
      <c r="H58" s="17" t="str">
        <f aca="false">IF(E58="","",IF(F58="","check type",IF(IFERROR(INDEX(Codes!$B$3:$B$14,MATCH(F58,Codes!$A$3:$A$14,0)),0)=E58,"OK","points/type mismatch")))</f>
        <v/>
      </c>
    </row>
    <row r="59" customFormat="false" ht="15" hidden="false" customHeight="false" outlineLevel="0" collapsed="false">
      <c r="A59" s="15"/>
      <c r="B59" s="16"/>
      <c r="C59" s="15"/>
      <c r="D59" s="15"/>
      <c r="E59" s="15"/>
      <c r="F59" s="15"/>
      <c r="G59" s="15"/>
      <c r="H59" s="17" t="str">
        <f aca="false">IF(E59="","",IF(F59="","check type",IF(IFERROR(INDEX(Codes!$B$3:$B$14,MATCH(F59,Codes!$A$3:$A$14,0)),0)=E59,"OK","points/type mismatch")))</f>
        <v/>
      </c>
    </row>
    <row r="60" customFormat="false" ht="15" hidden="false" customHeight="false" outlineLevel="0" collapsed="false">
      <c r="A60" s="15"/>
      <c r="B60" s="16"/>
      <c r="C60" s="15"/>
      <c r="D60" s="15"/>
      <c r="E60" s="15"/>
      <c r="F60" s="15"/>
      <c r="G60" s="15"/>
      <c r="H60" s="17" t="str">
        <f aca="false">IF(E60="","",IF(F60="","check type",IF(IFERROR(INDEX(Codes!$B$3:$B$14,MATCH(F60,Codes!$A$3:$A$14,0)),0)=E60,"OK","points/type mismatch")))</f>
        <v/>
      </c>
    </row>
    <row r="61" customFormat="false" ht="15" hidden="false" customHeight="false" outlineLevel="0" collapsed="false">
      <c r="A61" s="15"/>
      <c r="B61" s="16"/>
      <c r="C61" s="15"/>
      <c r="D61" s="15"/>
      <c r="E61" s="15"/>
      <c r="F61" s="15"/>
      <c r="G61" s="15"/>
      <c r="H61" s="17" t="str">
        <f aca="false">IF(E61="","",IF(F61="","check type",IF(IFERROR(INDEX(Codes!$B$3:$B$14,MATCH(F61,Codes!$A$3:$A$14,0)),0)=E61,"OK","points/type mismatch")))</f>
        <v/>
      </c>
    </row>
    <row r="62" customFormat="false" ht="15" hidden="false" customHeight="false" outlineLevel="0" collapsed="false">
      <c r="A62" s="15"/>
      <c r="B62" s="16"/>
      <c r="C62" s="15"/>
      <c r="D62" s="15"/>
      <c r="E62" s="15"/>
      <c r="F62" s="15"/>
      <c r="G62" s="15"/>
      <c r="H62" s="17" t="str">
        <f aca="false">IF(E62="","",IF(F62="","check type",IF(IFERROR(INDEX(Codes!$B$3:$B$14,MATCH(F62,Codes!$A$3:$A$14,0)),0)=E62,"OK","points/type mismatch")))</f>
        <v/>
      </c>
    </row>
    <row r="63" customFormat="false" ht="15" hidden="false" customHeight="false" outlineLevel="0" collapsed="false">
      <c r="A63" s="15"/>
      <c r="B63" s="16"/>
      <c r="C63" s="15"/>
      <c r="D63" s="15"/>
      <c r="E63" s="15"/>
      <c r="F63" s="15"/>
      <c r="G63" s="15"/>
      <c r="H63" s="17" t="str">
        <f aca="false">IF(E63="","",IF(F63="","check type",IF(IFERROR(INDEX(Codes!$B$3:$B$14,MATCH(F63,Codes!$A$3:$A$14,0)),0)=E63,"OK","points/type mismatch")))</f>
        <v/>
      </c>
    </row>
    <row r="64" customFormat="false" ht="15" hidden="false" customHeight="false" outlineLevel="0" collapsed="false">
      <c r="A64" s="15"/>
      <c r="B64" s="16"/>
      <c r="C64" s="15"/>
      <c r="D64" s="15"/>
      <c r="E64" s="15"/>
      <c r="F64" s="15"/>
      <c r="G64" s="15"/>
      <c r="H64" s="17" t="str">
        <f aca="false">IF(E64="","",IF(F64="","check type",IF(IFERROR(INDEX(Codes!$B$3:$B$14,MATCH(F64,Codes!$A$3:$A$14,0)),0)=E64,"OK","points/type mismatch")))</f>
        <v/>
      </c>
    </row>
    <row r="65" customFormat="false" ht="15" hidden="false" customHeight="false" outlineLevel="0" collapsed="false">
      <c r="A65" s="15"/>
      <c r="B65" s="16"/>
      <c r="C65" s="15"/>
      <c r="D65" s="15"/>
      <c r="E65" s="15"/>
      <c r="F65" s="15"/>
      <c r="G65" s="15"/>
      <c r="H65" s="17" t="str">
        <f aca="false">IF(E65="","",IF(F65="","check type",IF(IFERROR(INDEX(Codes!$B$3:$B$14,MATCH(F65,Codes!$A$3:$A$14,0)),0)=E65,"OK","points/type mismatch")))</f>
        <v/>
      </c>
    </row>
    <row r="66" customFormat="false" ht="15" hidden="false" customHeight="false" outlineLevel="0" collapsed="false">
      <c r="A66" s="15"/>
      <c r="B66" s="16"/>
      <c r="C66" s="15"/>
      <c r="D66" s="15"/>
      <c r="E66" s="15"/>
      <c r="F66" s="15"/>
      <c r="G66" s="15"/>
      <c r="H66" s="17" t="str">
        <f aca="false">IF(E66="","",IF(F66="","check type",IF(IFERROR(INDEX(Codes!$B$3:$B$14,MATCH(F66,Codes!$A$3:$A$14,0)),0)=E66,"OK","points/type mismatch")))</f>
        <v/>
      </c>
    </row>
    <row r="67" customFormat="false" ht="15" hidden="false" customHeight="false" outlineLevel="0" collapsed="false">
      <c r="A67" s="15"/>
      <c r="B67" s="16"/>
      <c r="C67" s="15"/>
      <c r="D67" s="15"/>
      <c r="E67" s="15"/>
      <c r="F67" s="15"/>
      <c r="G67" s="15"/>
      <c r="H67" s="17" t="str">
        <f aca="false">IF(E67="","",IF(F67="","check type",IF(IFERROR(INDEX(Codes!$B$3:$B$14,MATCH(F67,Codes!$A$3:$A$14,0)),0)=E67,"OK","points/type mismatch")))</f>
        <v/>
      </c>
    </row>
    <row r="68" customFormat="false" ht="15" hidden="false" customHeight="false" outlineLevel="0" collapsed="false">
      <c r="A68" s="15"/>
      <c r="B68" s="16"/>
      <c r="C68" s="15"/>
      <c r="D68" s="15"/>
      <c r="E68" s="15"/>
      <c r="F68" s="15"/>
      <c r="G68" s="15"/>
      <c r="H68" s="17" t="str">
        <f aca="false">IF(E68="","",IF(F68="","check type",IF(IFERROR(INDEX(Codes!$B$3:$B$14,MATCH(F68,Codes!$A$3:$A$14,0)),0)=E68,"OK","points/type mismatch")))</f>
        <v/>
      </c>
    </row>
    <row r="69" customFormat="false" ht="15" hidden="false" customHeight="false" outlineLevel="0" collapsed="false">
      <c r="A69" s="15"/>
      <c r="B69" s="16"/>
      <c r="C69" s="15"/>
      <c r="D69" s="15"/>
      <c r="E69" s="15"/>
      <c r="F69" s="15"/>
      <c r="G69" s="15"/>
      <c r="H69" s="17" t="str">
        <f aca="false">IF(E69="","",IF(F69="","check type",IF(IFERROR(INDEX(Codes!$B$3:$B$14,MATCH(F69,Codes!$A$3:$A$14,0)),0)=E69,"OK","points/type mismatch")))</f>
        <v/>
      </c>
    </row>
    <row r="70" customFormat="false" ht="15" hidden="false" customHeight="false" outlineLevel="0" collapsed="false">
      <c r="A70" s="15"/>
      <c r="B70" s="16"/>
      <c r="C70" s="15"/>
      <c r="D70" s="15"/>
      <c r="E70" s="15"/>
      <c r="F70" s="15"/>
      <c r="G70" s="15"/>
      <c r="H70" s="17" t="str">
        <f aca="false">IF(E70="","",IF(F70="","check type",IF(IFERROR(INDEX(Codes!$B$3:$B$14,MATCH(F70,Codes!$A$3:$A$14,0)),0)=E70,"OK","points/type mismatch")))</f>
        <v/>
      </c>
    </row>
    <row r="71" customFormat="false" ht="15" hidden="false" customHeight="false" outlineLevel="0" collapsed="false">
      <c r="A71" s="15"/>
      <c r="B71" s="16"/>
      <c r="C71" s="15"/>
      <c r="D71" s="15"/>
      <c r="E71" s="15"/>
      <c r="F71" s="15"/>
      <c r="G71" s="15"/>
      <c r="H71" s="17" t="str">
        <f aca="false">IF(E71="","",IF(F71="","check type",IF(IFERROR(INDEX(Codes!$B$3:$B$14,MATCH(F71,Codes!$A$3:$A$14,0)),0)=E71,"OK","points/type mismatch")))</f>
        <v/>
      </c>
    </row>
    <row r="72" customFormat="false" ht="15" hidden="false" customHeight="false" outlineLevel="0" collapsed="false">
      <c r="A72" s="15"/>
      <c r="B72" s="16"/>
      <c r="C72" s="15"/>
      <c r="D72" s="15"/>
      <c r="E72" s="15"/>
      <c r="F72" s="15"/>
      <c r="G72" s="15"/>
      <c r="H72" s="17" t="str">
        <f aca="false">IF(E72="","",IF(F72="","check type",IF(IFERROR(INDEX(Codes!$B$3:$B$14,MATCH(F72,Codes!$A$3:$A$14,0)),0)=E72,"OK","points/type mismatch")))</f>
        <v/>
      </c>
    </row>
    <row r="73" customFormat="false" ht="15" hidden="false" customHeight="false" outlineLevel="0" collapsed="false">
      <c r="A73" s="15"/>
      <c r="B73" s="16"/>
      <c r="C73" s="15"/>
      <c r="D73" s="15"/>
      <c r="E73" s="15"/>
      <c r="F73" s="15"/>
      <c r="G73" s="15"/>
      <c r="H73" s="17" t="str">
        <f aca="false">IF(E73="","",IF(F73="","check type",IF(IFERROR(INDEX(Codes!$B$3:$B$14,MATCH(F73,Codes!$A$3:$A$14,0)),0)=E73,"OK","points/type mismatch")))</f>
        <v/>
      </c>
    </row>
    <row r="74" customFormat="false" ht="15" hidden="false" customHeight="false" outlineLevel="0" collapsed="false">
      <c r="A74" s="15"/>
      <c r="B74" s="16"/>
      <c r="C74" s="15"/>
      <c r="D74" s="15"/>
      <c r="E74" s="15"/>
      <c r="F74" s="15"/>
      <c r="G74" s="15"/>
      <c r="H74" s="17" t="str">
        <f aca="false">IF(E74="","",IF(F74="","check type",IF(IFERROR(INDEX(Codes!$B$3:$B$14,MATCH(F74,Codes!$A$3:$A$14,0)),0)=E74,"OK","points/type mismatch")))</f>
        <v/>
      </c>
    </row>
    <row r="75" customFormat="false" ht="15" hidden="false" customHeight="false" outlineLevel="0" collapsed="false">
      <c r="A75" s="15"/>
      <c r="B75" s="16"/>
      <c r="C75" s="15"/>
      <c r="D75" s="15"/>
      <c r="E75" s="15"/>
      <c r="F75" s="15"/>
      <c r="G75" s="15"/>
      <c r="H75" s="17" t="str">
        <f aca="false">IF(E75="","",IF(F75="","check type",IF(IFERROR(INDEX(Codes!$B$3:$B$14,MATCH(F75,Codes!$A$3:$A$14,0)),0)=E75,"OK","points/type mismatch")))</f>
        <v/>
      </c>
    </row>
    <row r="76" customFormat="false" ht="15" hidden="false" customHeight="false" outlineLevel="0" collapsed="false">
      <c r="A76" s="15"/>
      <c r="B76" s="16"/>
      <c r="C76" s="15"/>
      <c r="D76" s="15"/>
      <c r="E76" s="15"/>
      <c r="F76" s="15"/>
      <c r="G76" s="15"/>
      <c r="H76" s="17" t="str">
        <f aca="false">IF(E76="","",IF(F76="","check type",IF(IFERROR(INDEX(Codes!$B$3:$B$14,MATCH(F76,Codes!$A$3:$A$14,0)),0)=E76,"OK","points/type mismatch")))</f>
        <v/>
      </c>
    </row>
    <row r="77" customFormat="false" ht="15" hidden="false" customHeight="false" outlineLevel="0" collapsed="false">
      <c r="A77" s="15"/>
      <c r="B77" s="16"/>
      <c r="C77" s="15"/>
      <c r="D77" s="15"/>
      <c r="E77" s="15"/>
      <c r="F77" s="15"/>
      <c r="G77" s="15"/>
      <c r="H77" s="17" t="str">
        <f aca="false">IF(E77="","",IF(F77="","check type",IF(IFERROR(INDEX(Codes!$B$3:$B$14,MATCH(F77,Codes!$A$3:$A$14,0)),0)=E77,"OK","points/type mismatch")))</f>
        <v/>
      </c>
    </row>
    <row r="78" customFormat="false" ht="15" hidden="false" customHeight="false" outlineLevel="0" collapsed="false">
      <c r="A78" s="15"/>
      <c r="B78" s="16"/>
      <c r="C78" s="15"/>
      <c r="D78" s="15"/>
      <c r="E78" s="15"/>
      <c r="F78" s="15"/>
      <c r="G78" s="15"/>
      <c r="H78" s="17" t="str">
        <f aca="false">IF(E78="","",IF(F78="","check type",IF(IFERROR(INDEX(Codes!$B$3:$B$14,MATCH(F78,Codes!$A$3:$A$14,0)),0)=E78,"OK","points/type mismatch")))</f>
        <v/>
      </c>
    </row>
    <row r="79" customFormat="false" ht="15" hidden="false" customHeight="false" outlineLevel="0" collapsed="false">
      <c r="A79" s="15"/>
      <c r="B79" s="16"/>
      <c r="C79" s="15"/>
      <c r="D79" s="15"/>
      <c r="E79" s="15"/>
      <c r="F79" s="15"/>
      <c r="G79" s="15"/>
      <c r="H79" s="17" t="str">
        <f aca="false">IF(E79="","",IF(F79="","check type",IF(IFERROR(INDEX(Codes!$B$3:$B$14,MATCH(F79,Codes!$A$3:$A$14,0)),0)=E79,"OK","points/type mismatch")))</f>
        <v/>
      </c>
    </row>
    <row r="80" customFormat="false" ht="15" hidden="false" customHeight="false" outlineLevel="0" collapsed="false">
      <c r="A80" s="15"/>
      <c r="B80" s="16"/>
      <c r="C80" s="15"/>
      <c r="D80" s="15"/>
      <c r="E80" s="15"/>
      <c r="F80" s="15"/>
      <c r="G80" s="15"/>
      <c r="H80" s="17" t="str">
        <f aca="false">IF(E80="","",IF(F80="","check type",IF(IFERROR(INDEX(Codes!$B$3:$B$14,MATCH(F80,Codes!$A$3:$A$14,0)),0)=E80,"OK","points/type mismatch")))</f>
        <v/>
      </c>
    </row>
    <row r="81" customFormat="false" ht="15" hidden="false" customHeight="false" outlineLevel="0" collapsed="false">
      <c r="A81" s="15"/>
      <c r="B81" s="16"/>
      <c r="C81" s="15"/>
      <c r="D81" s="15"/>
      <c r="E81" s="15"/>
      <c r="F81" s="15"/>
      <c r="G81" s="15"/>
      <c r="H81" s="17" t="str">
        <f aca="false">IF(E81="","",IF(F81="","check type",IF(IFERROR(INDEX(Codes!$B$3:$B$14,MATCH(F81,Codes!$A$3:$A$14,0)),0)=E81,"OK","points/type mismatch")))</f>
        <v/>
      </c>
    </row>
    <row r="82" customFormat="false" ht="15" hidden="false" customHeight="false" outlineLevel="0" collapsed="false">
      <c r="A82" s="15"/>
      <c r="B82" s="16"/>
      <c r="C82" s="15"/>
      <c r="D82" s="15"/>
      <c r="E82" s="15"/>
      <c r="F82" s="15"/>
      <c r="G82" s="15"/>
      <c r="H82" s="17" t="str">
        <f aca="false">IF(E82="","",IF(F82="","check type",IF(IFERROR(INDEX(Codes!$B$3:$B$14,MATCH(F82,Codes!$A$3:$A$14,0)),0)=E82,"OK","points/type mismatch")))</f>
        <v/>
      </c>
    </row>
    <row r="83" customFormat="false" ht="15" hidden="false" customHeight="false" outlineLevel="0" collapsed="false">
      <c r="A83" s="15"/>
      <c r="B83" s="16"/>
      <c r="C83" s="15"/>
      <c r="D83" s="15"/>
      <c r="E83" s="15"/>
      <c r="F83" s="15"/>
      <c r="G83" s="15"/>
      <c r="H83" s="17" t="str">
        <f aca="false">IF(E83="","",IF(F83="","check type",IF(IFERROR(INDEX(Codes!$B$3:$B$14,MATCH(F83,Codes!$A$3:$A$14,0)),0)=E83,"OK","points/type mismatch")))</f>
        <v/>
      </c>
    </row>
    <row r="84" customFormat="false" ht="15" hidden="false" customHeight="false" outlineLevel="0" collapsed="false">
      <c r="A84" s="15"/>
      <c r="B84" s="16"/>
      <c r="C84" s="15"/>
      <c r="D84" s="15"/>
      <c r="E84" s="15"/>
      <c r="F84" s="15"/>
      <c r="G84" s="15"/>
      <c r="H84" s="17" t="str">
        <f aca="false">IF(E84="","",IF(F84="","check type",IF(IFERROR(INDEX(Codes!$B$3:$B$14,MATCH(F84,Codes!$A$3:$A$14,0)),0)=E84,"OK","points/type mismatch")))</f>
        <v/>
      </c>
    </row>
    <row r="85" customFormat="false" ht="15" hidden="false" customHeight="false" outlineLevel="0" collapsed="false">
      <c r="A85" s="15"/>
      <c r="B85" s="16"/>
      <c r="C85" s="15"/>
      <c r="D85" s="15"/>
      <c r="E85" s="15"/>
      <c r="F85" s="15"/>
      <c r="G85" s="15"/>
      <c r="H85" s="17" t="str">
        <f aca="false">IF(E85="","",IF(F85="","check type",IF(IFERROR(INDEX(Codes!$B$3:$B$14,MATCH(F85,Codes!$A$3:$A$14,0)),0)=E85,"OK","points/type mismatch")))</f>
        <v/>
      </c>
    </row>
    <row r="86" customFormat="false" ht="15" hidden="false" customHeight="false" outlineLevel="0" collapsed="false">
      <c r="A86" s="15"/>
      <c r="B86" s="16"/>
      <c r="C86" s="15"/>
      <c r="D86" s="15"/>
      <c r="E86" s="15"/>
      <c r="F86" s="15"/>
      <c r="G86" s="15"/>
      <c r="H86" s="17" t="str">
        <f aca="false">IF(E86="","",IF(F86="","check type",IF(IFERROR(INDEX(Codes!$B$3:$B$14,MATCH(F86,Codes!$A$3:$A$14,0)),0)=E86,"OK","points/type mismatch")))</f>
        <v/>
      </c>
    </row>
    <row r="87" customFormat="false" ht="15" hidden="false" customHeight="false" outlineLevel="0" collapsed="false">
      <c r="A87" s="15"/>
      <c r="B87" s="16"/>
      <c r="C87" s="15"/>
      <c r="D87" s="15"/>
      <c r="E87" s="15"/>
      <c r="F87" s="15"/>
      <c r="G87" s="15"/>
      <c r="H87" s="17" t="str">
        <f aca="false">IF(E87="","",IF(F87="","check type",IF(IFERROR(INDEX(Codes!$B$3:$B$14,MATCH(F87,Codes!$A$3:$A$14,0)),0)=E87,"OK","points/type mismatch")))</f>
        <v/>
      </c>
    </row>
    <row r="88" customFormat="false" ht="15" hidden="false" customHeight="false" outlineLevel="0" collapsed="false">
      <c r="A88" s="15"/>
      <c r="B88" s="16"/>
      <c r="C88" s="15"/>
      <c r="D88" s="15"/>
      <c r="E88" s="15"/>
      <c r="F88" s="15"/>
      <c r="G88" s="15"/>
      <c r="H88" s="17" t="str">
        <f aca="false">IF(E88="","",IF(F88="","check type",IF(IFERROR(INDEX(Codes!$B$3:$B$14,MATCH(F88,Codes!$A$3:$A$14,0)),0)=E88,"OK","points/type mismatch")))</f>
        <v/>
      </c>
    </row>
    <row r="89" customFormat="false" ht="15" hidden="false" customHeight="false" outlineLevel="0" collapsed="false">
      <c r="A89" s="15"/>
      <c r="B89" s="16"/>
      <c r="C89" s="15"/>
      <c r="D89" s="15"/>
      <c r="E89" s="15"/>
      <c r="F89" s="15"/>
      <c r="G89" s="15"/>
      <c r="H89" s="17" t="str">
        <f aca="false">IF(E89="","",IF(F89="","check type",IF(IFERROR(INDEX(Codes!$B$3:$B$14,MATCH(F89,Codes!$A$3:$A$14,0)),0)=E89,"OK","points/type mismatch")))</f>
        <v/>
      </c>
    </row>
    <row r="90" customFormat="false" ht="15" hidden="false" customHeight="false" outlineLevel="0" collapsed="false">
      <c r="A90" s="15"/>
      <c r="B90" s="16"/>
      <c r="C90" s="15"/>
      <c r="D90" s="15"/>
      <c r="E90" s="15"/>
      <c r="F90" s="15"/>
      <c r="G90" s="15"/>
      <c r="H90" s="17" t="str">
        <f aca="false">IF(E90="","",IF(F90="","check type",IF(IFERROR(INDEX(Codes!$B$3:$B$14,MATCH(F90,Codes!$A$3:$A$14,0)),0)=E90,"OK","points/type mismatch")))</f>
        <v/>
      </c>
    </row>
    <row r="91" customFormat="false" ht="15" hidden="false" customHeight="false" outlineLevel="0" collapsed="false">
      <c r="A91" s="15"/>
      <c r="B91" s="16"/>
      <c r="C91" s="15"/>
      <c r="D91" s="15"/>
      <c r="E91" s="15"/>
      <c r="F91" s="15"/>
      <c r="G91" s="15"/>
      <c r="H91" s="17" t="str">
        <f aca="false">IF(E91="","",IF(F91="","check type",IF(IFERROR(INDEX(Codes!$B$3:$B$14,MATCH(F91,Codes!$A$3:$A$14,0)),0)=E91,"OK","points/type mismatch")))</f>
        <v/>
      </c>
    </row>
    <row r="92" customFormat="false" ht="15" hidden="false" customHeight="false" outlineLevel="0" collapsed="false">
      <c r="A92" s="15"/>
      <c r="B92" s="16"/>
      <c r="C92" s="15"/>
      <c r="D92" s="15"/>
      <c r="E92" s="15"/>
      <c r="F92" s="15"/>
      <c r="G92" s="15"/>
      <c r="H92" s="17" t="str">
        <f aca="false">IF(E92="","",IF(F92="","check type",IF(IFERROR(INDEX(Codes!$B$3:$B$14,MATCH(F92,Codes!$A$3:$A$14,0)),0)=E92,"OK","points/type mismatch")))</f>
        <v/>
      </c>
    </row>
    <row r="93" customFormat="false" ht="15" hidden="false" customHeight="false" outlineLevel="0" collapsed="false">
      <c r="A93" s="15"/>
      <c r="B93" s="16"/>
      <c r="C93" s="15"/>
      <c r="D93" s="15"/>
      <c r="E93" s="15"/>
      <c r="F93" s="15"/>
      <c r="G93" s="15"/>
      <c r="H93" s="17" t="str">
        <f aca="false">IF(E93="","",IF(F93="","check type",IF(IFERROR(INDEX(Codes!$B$3:$B$14,MATCH(F93,Codes!$A$3:$A$14,0)),0)=E93,"OK","points/type mismatch")))</f>
        <v/>
      </c>
    </row>
    <row r="94" customFormat="false" ht="15" hidden="false" customHeight="false" outlineLevel="0" collapsed="false">
      <c r="A94" s="15"/>
      <c r="B94" s="16"/>
      <c r="C94" s="15"/>
      <c r="D94" s="15"/>
      <c r="E94" s="15"/>
      <c r="F94" s="15"/>
      <c r="G94" s="15"/>
      <c r="H94" s="17" t="str">
        <f aca="false">IF(E94="","",IF(F94="","check type",IF(IFERROR(INDEX(Codes!$B$3:$B$14,MATCH(F94,Codes!$A$3:$A$14,0)),0)=E94,"OK","points/type mismatch")))</f>
        <v/>
      </c>
    </row>
    <row r="95" customFormat="false" ht="15" hidden="false" customHeight="false" outlineLevel="0" collapsed="false">
      <c r="A95" s="15"/>
      <c r="B95" s="16"/>
      <c r="C95" s="15"/>
      <c r="D95" s="15"/>
      <c r="E95" s="15"/>
      <c r="F95" s="15"/>
      <c r="G95" s="15"/>
      <c r="H95" s="17" t="str">
        <f aca="false">IF(E95="","",IF(F95="","check type",IF(IFERROR(INDEX(Codes!$B$3:$B$14,MATCH(F95,Codes!$A$3:$A$14,0)),0)=E95,"OK","points/type mismatch")))</f>
        <v/>
      </c>
    </row>
    <row r="96" customFormat="false" ht="15" hidden="false" customHeight="false" outlineLevel="0" collapsed="false">
      <c r="A96" s="15"/>
      <c r="B96" s="16"/>
      <c r="C96" s="15"/>
      <c r="D96" s="15"/>
      <c r="E96" s="15"/>
      <c r="F96" s="15"/>
      <c r="G96" s="15"/>
      <c r="H96" s="17" t="str">
        <f aca="false">IF(E96="","",IF(F96="","check type",IF(IFERROR(INDEX(Codes!$B$3:$B$14,MATCH(F96,Codes!$A$3:$A$14,0)),0)=E96,"OK","points/type mismatch")))</f>
        <v/>
      </c>
    </row>
    <row r="97" customFormat="false" ht="15" hidden="false" customHeight="false" outlineLevel="0" collapsed="false">
      <c r="A97" s="15"/>
      <c r="B97" s="16"/>
      <c r="C97" s="15"/>
      <c r="D97" s="15"/>
      <c r="E97" s="15"/>
      <c r="F97" s="15"/>
      <c r="G97" s="15"/>
      <c r="H97" s="17" t="str">
        <f aca="false">IF(E97="","",IF(F97="","check type",IF(IFERROR(INDEX(Codes!$B$3:$B$14,MATCH(F97,Codes!$A$3:$A$14,0)),0)=E97,"OK","points/type mismatch")))</f>
        <v/>
      </c>
    </row>
    <row r="98" customFormat="false" ht="15" hidden="false" customHeight="false" outlineLevel="0" collapsed="false">
      <c r="A98" s="15"/>
      <c r="B98" s="16"/>
      <c r="C98" s="15"/>
      <c r="D98" s="15"/>
      <c r="E98" s="15"/>
      <c r="F98" s="15"/>
      <c r="G98" s="15"/>
      <c r="H98" s="17" t="str">
        <f aca="false">IF(E98="","",IF(F98="","check type",IF(IFERROR(INDEX(Codes!$B$3:$B$14,MATCH(F98,Codes!$A$3:$A$14,0)),0)=E98,"OK","points/type mismatch")))</f>
        <v/>
      </c>
    </row>
    <row r="99" customFormat="false" ht="15" hidden="false" customHeight="false" outlineLevel="0" collapsed="false">
      <c r="A99" s="15"/>
      <c r="B99" s="16"/>
      <c r="C99" s="15"/>
      <c r="D99" s="15"/>
      <c r="E99" s="15"/>
      <c r="F99" s="15"/>
      <c r="G99" s="15"/>
      <c r="H99" s="17" t="str">
        <f aca="false">IF(E99="","",IF(F99="","check type",IF(IFERROR(INDEX(Codes!$B$3:$B$14,MATCH(F99,Codes!$A$3:$A$14,0)),0)=E99,"OK","points/type mismatch")))</f>
        <v/>
      </c>
    </row>
    <row r="100" customFormat="false" ht="15" hidden="false" customHeight="false" outlineLevel="0" collapsed="false">
      <c r="A100" s="15"/>
      <c r="B100" s="16"/>
      <c r="C100" s="15"/>
      <c r="D100" s="15"/>
      <c r="E100" s="15"/>
      <c r="F100" s="15"/>
      <c r="G100" s="15"/>
      <c r="H100" s="17" t="str">
        <f aca="false">IF(E100="","",IF(F100="","check type",IF(IFERROR(INDEX(Codes!$B$3:$B$14,MATCH(F100,Codes!$A$3:$A$14,0)),0)=E100,"OK","points/type mismatch")))</f>
        <v/>
      </c>
    </row>
    <row r="101" customFormat="false" ht="15" hidden="false" customHeight="false" outlineLevel="0" collapsed="false">
      <c r="A101" s="15"/>
      <c r="B101" s="16"/>
      <c r="C101" s="15"/>
      <c r="D101" s="15"/>
      <c r="E101" s="15"/>
      <c r="F101" s="15"/>
      <c r="G101" s="15"/>
      <c r="H101" s="17" t="str">
        <f aca="false">IF(E101="","",IF(F101="","check type",IF(IFERROR(INDEX(Codes!$B$3:$B$14,MATCH(F101,Codes!$A$3:$A$14,0)),0)=E101,"OK","points/type mismatch")))</f>
        <v/>
      </c>
    </row>
    <row r="102" customFormat="false" ht="15" hidden="false" customHeight="false" outlineLevel="0" collapsed="false">
      <c r="A102" s="15"/>
      <c r="B102" s="16"/>
      <c r="C102" s="15"/>
      <c r="D102" s="15"/>
      <c r="E102" s="15"/>
      <c r="F102" s="15"/>
      <c r="G102" s="15"/>
      <c r="H102" s="17" t="str">
        <f aca="false">IF(E102="","",IF(F102="","check type",IF(IFERROR(INDEX(Codes!$B$3:$B$14,MATCH(F102,Codes!$A$3:$A$14,0)),0)=E102,"OK","points/type mismatch")))</f>
        <v/>
      </c>
    </row>
    <row r="103" customFormat="false" ht="15" hidden="false" customHeight="false" outlineLevel="0" collapsed="false">
      <c r="A103" s="15"/>
      <c r="B103" s="16"/>
      <c r="C103" s="15"/>
      <c r="D103" s="15"/>
      <c r="E103" s="15"/>
      <c r="F103" s="15"/>
      <c r="G103" s="15"/>
      <c r="H103" s="17" t="str">
        <f aca="false">IF(E103="","",IF(F103="","check type",IF(IFERROR(INDEX(Codes!$B$3:$B$14,MATCH(F103,Codes!$A$3:$A$14,0)),0)=E103,"OK","points/type mismatch")))</f>
        <v/>
      </c>
    </row>
    <row r="104" customFormat="false" ht="15" hidden="false" customHeight="false" outlineLevel="0" collapsed="false">
      <c r="A104" s="15"/>
      <c r="B104" s="16"/>
      <c r="C104" s="15"/>
      <c r="D104" s="15"/>
      <c r="E104" s="15"/>
      <c r="F104" s="15"/>
      <c r="G104" s="15"/>
      <c r="H104" s="17" t="str">
        <f aca="false">IF(E104="","",IF(F104="","check type",IF(IFERROR(INDEX(Codes!$B$3:$B$14,MATCH(F104,Codes!$A$3:$A$14,0)),0)=E104,"OK","points/type mismatch")))</f>
        <v/>
      </c>
    </row>
    <row r="105" customFormat="false" ht="15" hidden="false" customHeight="false" outlineLevel="0" collapsed="false">
      <c r="A105" s="15"/>
      <c r="B105" s="16"/>
      <c r="C105" s="15"/>
      <c r="D105" s="15"/>
      <c r="E105" s="15"/>
      <c r="F105" s="15"/>
      <c r="G105" s="15"/>
      <c r="H105" s="17" t="str">
        <f aca="false">IF(E105="","",IF(F105="","check type",IF(IFERROR(INDEX(Codes!$B$3:$B$14,MATCH(F105,Codes!$A$3:$A$14,0)),0)=E105,"OK","points/type mismatch")))</f>
        <v/>
      </c>
    </row>
    <row r="106" customFormat="false" ht="15" hidden="false" customHeight="false" outlineLevel="0" collapsed="false">
      <c r="A106" s="15"/>
      <c r="B106" s="16"/>
      <c r="C106" s="15"/>
      <c r="D106" s="15"/>
      <c r="E106" s="15"/>
      <c r="F106" s="15"/>
      <c r="G106" s="15"/>
      <c r="H106" s="17" t="str">
        <f aca="false">IF(E106="","",IF(F106="","check type",IF(IFERROR(INDEX(Codes!$B$3:$B$14,MATCH(F106,Codes!$A$3:$A$14,0)),0)=E106,"OK","points/type mismatch")))</f>
        <v/>
      </c>
    </row>
    <row r="107" customFormat="false" ht="15" hidden="false" customHeight="false" outlineLevel="0" collapsed="false">
      <c r="A107" s="15"/>
      <c r="B107" s="16"/>
      <c r="C107" s="15"/>
      <c r="D107" s="15"/>
      <c r="E107" s="15"/>
      <c r="F107" s="15"/>
      <c r="G107" s="15"/>
      <c r="H107" s="17" t="str">
        <f aca="false">IF(E107="","",IF(F107="","check type",IF(IFERROR(INDEX(Codes!$B$3:$B$14,MATCH(F107,Codes!$A$3:$A$14,0)),0)=E107,"OK","points/type mismatch")))</f>
        <v/>
      </c>
    </row>
    <row r="108" customFormat="false" ht="15" hidden="false" customHeight="false" outlineLevel="0" collapsed="false">
      <c r="A108" s="15"/>
      <c r="B108" s="16"/>
      <c r="C108" s="15"/>
      <c r="D108" s="15"/>
      <c r="E108" s="15"/>
      <c r="F108" s="15"/>
      <c r="G108" s="15"/>
      <c r="H108" s="17" t="str">
        <f aca="false">IF(E108="","",IF(F108="","check type",IF(IFERROR(INDEX(Codes!$B$3:$B$14,MATCH(F108,Codes!$A$3:$A$14,0)),0)=E108,"OK","points/type mismatch")))</f>
        <v/>
      </c>
    </row>
    <row r="109" customFormat="false" ht="15" hidden="false" customHeight="false" outlineLevel="0" collapsed="false">
      <c r="A109" s="15"/>
      <c r="B109" s="16"/>
      <c r="C109" s="15"/>
      <c r="D109" s="15"/>
      <c r="E109" s="15"/>
      <c r="F109" s="15"/>
      <c r="G109" s="15"/>
      <c r="H109" s="17" t="str">
        <f aca="false">IF(E109="","",IF(F109="","check type",IF(IFERROR(INDEX(Codes!$B$3:$B$14,MATCH(F109,Codes!$A$3:$A$14,0)),0)=E109,"OK","points/type mismatch")))</f>
        <v/>
      </c>
    </row>
    <row r="110" customFormat="false" ht="15" hidden="false" customHeight="false" outlineLevel="0" collapsed="false">
      <c r="A110" s="15"/>
      <c r="B110" s="16"/>
      <c r="C110" s="15"/>
      <c r="D110" s="15"/>
      <c r="E110" s="15"/>
      <c r="F110" s="15"/>
      <c r="G110" s="15"/>
      <c r="H110" s="17" t="str">
        <f aca="false">IF(E110="","",IF(F110="","check type",IF(IFERROR(INDEX(Codes!$B$3:$B$14,MATCH(F110,Codes!$A$3:$A$14,0)),0)=E110,"OK","points/type mismatch")))</f>
        <v/>
      </c>
    </row>
    <row r="111" customFormat="false" ht="15" hidden="false" customHeight="false" outlineLevel="0" collapsed="false">
      <c r="A111" s="15"/>
      <c r="B111" s="16"/>
      <c r="C111" s="15"/>
      <c r="D111" s="15"/>
      <c r="E111" s="15"/>
      <c r="F111" s="15"/>
      <c r="G111" s="15"/>
      <c r="H111" s="17" t="str">
        <f aca="false">IF(E111="","",IF(F111="","check type",IF(IFERROR(INDEX(Codes!$B$3:$B$14,MATCH(F111,Codes!$A$3:$A$14,0)),0)=E111,"OK","points/type mismatch")))</f>
        <v/>
      </c>
    </row>
    <row r="112" customFormat="false" ht="15" hidden="false" customHeight="false" outlineLevel="0" collapsed="false">
      <c r="A112" s="15"/>
      <c r="B112" s="16"/>
      <c r="C112" s="15"/>
      <c r="D112" s="15"/>
      <c r="E112" s="15"/>
      <c r="F112" s="15"/>
      <c r="G112" s="15"/>
      <c r="H112" s="17" t="str">
        <f aca="false">IF(E112="","",IF(F112="","check type",IF(IFERROR(INDEX(Codes!$B$3:$B$14,MATCH(F112,Codes!$A$3:$A$14,0)),0)=E112,"OK","points/type mismatch")))</f>
        <v/>
      </c>
    </row>
    <row r="113" customFormat="false" ht="15" hidden="false" customHeight="false" outlineLevel="0" collapsed="false">
      <c r="A113" s="15"/>
      <c r="B113" s="16"/>
      <c r="C113" s="15"/>
      <c r="D113" s="15"/>
      <c r="E113" s="15"/>
      <c r="F113" s="15"/>
      <c r="G113" s="15"/>
      <c r="H113" s="17" t="str">
        <f aca="false">IF(E113="","",IF(F113="","check type",IF(IFERROR(INDEX(Codes!$B$3:$B$14,MATCH(F113,Codes!$A$3:$A$14,0)),0)=E113,"OK","points/type mismatch")))</f>
        <v/>
      </c>
    </row>
    <row r="114" customFormat="false" ht="15" hidden="false" customHeight="false" outlineLevel="0" collapsed="false">
      <c r="A114" s="15"/>
      <c r="B114" s="16"/>
      <c r="C114" s="15"/>
      <c r="D114" s="15"/>
      <c r="E114" s="15"/>
      <c r="F114" s="15"/>
      <c r="G114" s="15"/>
      <c r="H114" s="17" t="str">
        <f aca="false">IF(E114="","",IF(F114="","check type",IF(IFERROR(INDEX(Codes!$B$3:$B$14,MATCH(F114,Codes!$A$3:$A$14,0)),0)=E114,"OK","points/type mismatch")))</f>
        <v/>
      </c>
    </row>
    <row r="115" customFormat="false" ht="15" hidden="false" customHeight="false" outlineLevel="0" collapsed="false">
      <c r="A115" s="15"/>
      <c r="B115" s="16"/>
      <c r="C115" s="15"/>
      <c r="D115" s="15"/>
      <c r="E115" s="15"/>
      <c r="F115" s="15"/>
      <c r="G115" s="15"/>
      <c r="H115" s="17" t="str">
        <f aca="false">IF(E115="","",IF(F115="","check type",IF(IFERROR(INDEX(Codes!$B$3:$B$14,MATCH(F115,Codes!$A$3:$A$14,0)),0)=E115,"OK","points/type mismatch")))</f>
        <v/>
      </c>
    </row>
    <row r="116" customFormat="false" ht="15" hidden="false" customHeight="false" outlineLevel="0" collapsed="false">
      <c r="A116" s="15"/>
      <c r="B116" s="16"/>
      <c r="C116" s="15"/>
      <c r="D116" s="15"/>
      <c r="E116" s="15"/>
      <c r="F116" s="15"/>
      <c r="G116" s="15"/>
      <c r="H116" s="17" t="str">
        <f aca="false">IF(E116="","",IF(F116="","check type",IF(IFERROR(INDEX(Codes!$B$3:$B$14,MATCH(F116,Codes!$A$3:$A$14,0)),0)=E116,"OK","points/type mismatch")))</f>
        <v/>
      </c>
    </row>
    <row r="117" customFormat="false" ht="15" hidden="false" customHeight="false" outlineLevel="0" collapsed="false">
      <c r="A117" s="15"/>
      <c r="B117" s="16"/>
      <c r="C117" s="15"/>
      <c r="D117" s="15"/>
      <c r="E117" s="15"/>
      <c r="F117" s="15"/>
      <c r="G117" s="15"/>
      <c r="H117" s="17" t="str">
        <f aca="false">IF(E117="","",IF(F117="","check type",IF(IFERROR(INDEX(Codes!$B$3:$B$14,MATCH(F117,Codes!$A$3:$A$14,0)),0)=E117,"OK","points/type mismatch")))</f>
        <v/>
      </c>
    </row>
    <row r="118" customFormat="false" ht="15" hidden="false" customHeight="false" outlineLevel="0" collapsed="false">
      <c r="A118" s="15"/>
      <c r="B118" s="16"/>
      <c r="C118" s="15"/>
      <c r="D118" s="15"/>
      <c r="E118" s="15"/>
      <c r="F118" s="15"/>
      <c r="G118" s="15"/>
      <c r="H118" s="17" t="str">
        <f aca="false">IF(E118="","",IF(F118="","check type",IF(IFERROR(INDEX(Codes!$B$3:$B$14,MATCH(F118,Codes!$A$3:$A$14,0)),0)=E118,"OK","points/type mismatch")))</f>
        <v/>
      </c>
    </row>
    <row r="119" customFormat="false" ht="15" hidden="false" customHeight="false" outlineLevel="0" collapsed="false">
      <c r="A119" s="15"/>
      <c r="B119" s="16"/>
      <c r="C119" s="15"/>
      <c r="D119" s="15"/>
      <c r="E119" s="15"/>
      <c r="F119" s="15"/>
      <c r="G119" s="15"/>
      <c r="H119" s="17" t="str">
        <f aca="false">IF(E119="","",IF(F119="","check type",IF(IFERROR(INDEX(Codes!$B$3:$B$14,MATCH(F119,Codes!$A$3:$A$14,0)),0)=E119,"OK","points/type mismatch")))</f>
        <v/>
      </c>
    </row>
    <row r="120" customFormat="false" ht="15" hidden="false" customHeight="false" outlineLevel="0" collapsed="false">
      <c r="A120" s="15"/>
      <c r="B120" s="16"/>
      <c r="C120" s="15"/>
      <c r="D120" s="15"/>
      <c r="E120" s="15"/>
      <c r="F120" s="15"/>
      <c r="G120" s="15"/>
      <c r="H120" s="17" t="str">
        <f aca="false">IF(E120="","",IF(F120="","check type",IF(IFERROR(INDEX(Codes!$B$3:$B$14,MATCH(F120,Codes!$A$3:$A$14,0)),0)=E120,"OK","points/type mismatch")))</f>
        <v/>
      </c>
    </row>
    <row r="121" customFormat="false" ht="15" hidden="false" customHeight="false" outlineLevel="0" collapsed="false">
      <c r="A121" s="15"/>
      <c r="B121" s="16"/>
      <c r="C121" s="15"/>
      <c r="D121" s="15"/>
      <c r="E121" s="15"/>
      <c r="F121" s="15"/>
      <c r="G121" s="15"/>
      <c r="H121" s="17" t="str">
        <f aca="false">IF(E121="","",IF(F121="","check type",IF(IFERROR(INDEX(Codes!$B$3:$B$14,MATCH(F121,Codes!$A$3:$A$14,0)),0)=E121,"OK","points/type mismatch")))</f>
        <v/>
      </c>
    </row>
    <row r="122" customFormat="false" ht="15" hidden="false" customHeight="false" outlineLevel="0" collapsed="false">
      <c r="A122" s="15"/>
      <c r="B122" s="16"/>
      <c r="C122" s="15"/>
      <c r="D122" s="15"/>
      <c r="E122" s="15"/>
      <c r="F122" s="15"/>
      <c r="G122" s="15"/>
      <c r="H122" s="17" t="str">
        <f aca="false">IF(E122="","",IF(F122="","check type",IF(IFERROR(INDEX(Codes!$B$3:$B$14,MATCH(F122,Codes!$A$3:$A$14,0)),0)=E122,"OK","points/type mismatch")))</f>
        <v/>
      </c>
    </row>
    <row r="123" customFormat="false" ht="15" hidden="false" customHeight="false" outlineLevel="0" collapsed="false">
      <c r="A123" s="15"/>
      <c r="B123" s="16"/>
      <c r="C123" s="15"/>
      <c r="D123" s="15"/>
      <c r="E123" s="15"/>
      <c r="F123" s="15"/>
      <c r="G123" s="15"/>
      <c r="H123" s="17" t="str">
        <f aca="false">IF(E123="","",IF(F123="","check type",IF(IFERROR(INDEX(Codes!$B$3:$B$14,MATCH(F123,Codes!$A$3:$A$14,0)),0)=E123,"OK","points/type mismatch")))</f>
        <v/>
      </c>
    </row>
    <row r="124" customFormat="false" ht="15" hidden="false" customHeight="false" outlineLevel="0" collapsed="false">
      <c r="A124" s="15"/>
      <c r="B124" s="16"/>
      <c r="C124" s="15"/>
      <c r="D124" s="15"/>
      <c r="E124" s="15"/>
      <c r="F124" s="15"/>
      <c r="G124" s="15"/>
      <c r="H124" s="17" t="str">
        <f aca="false">IF(E124="","",IF(F124="","check type",IF(IFERROR(INDEX(Codes!$B$3:$B$14,MATCH(F124,Codes!$A$3:$A$14,0)),0)=E124,"OK","points/type mismatch")))</f>
        <v/>
      </c>
    </row>
    <row r="125" customFormat="false" ht="15" hidden="false" customHeight="false" outlineLevel="0" collapsed="false">
      <c r="A125" s="15"/>
      <c r="B125" s="16"/>
      <c r="C125" s="15"/>
      <c r="D125" s="15"/>
      <c r="E125" s="15"/>
      <c r="F125" s="15"/>
      <c r="G125" s="15"/>
      <c r="H125" s="17" t="str">
        <f aca="false">IF(E125="","",IF(F125="","check type",IF(IFERROR(INDEX(Codes!$B$3:$B$14,MATCH(F125,Codes!$A$3:$A$14,0)),0)=E125,"OK","points/type mismatch")))</f>
        <v/>
      </c>
    </row>
    <row r="126" customFormat="false" ht="15" hidden="false" customHeight="false" outlineLevel="0" collapsed="false">
      <c r="A126" s="15"/>
      <c r="B126" s="16"/>
      <c r="C126" s="15"/>
      <c r="D126" s="15"/>
      <c r="E126" s="15"/>
      <c r="F126" s="15"/>
      <c r="G126" s="15"/>
      <c r="H126" s="17" t="str">
        <f aca="false">IF(E126="","",IF(F126="","check type",IF(IFERROR(INDEX(Codes!$B$3:$B$14,MATCH(F126,Codes!$A$3:$A$14,0)),0)=E126,"OK","points/type mismatch")))</f>
        <v/>
      </c>
    </row>
    <row r="127" customFormat="false" ht="15" hidden="false" customHeight="false" outlineLevel="0" collapsed="false">
      <c r="A127" s="15"/>
      <c r="B127" s="16"/>
      <c r="C127" s="15"/>
      <c r="D127" s="15"/>
      <c r="E127" s="15"/>
      <c r="F127" s="15"/>
      <c r="G127" s="15"/>
      <c r="H127" s="17" t="str">
        <f aca="false">IF(E127="","",IF(F127="","check type",IF(IFERROR(INDEX(Codes!$B$3:$B$14,MATCH(F127,Codes!$A$3:$A$14,0)),0)=E127,"OK","points/type mismatch")))</f>
        <v/>
      </c>
    </row>
    <row r="128" customFormat="false" ht="15" hidden="false" customHeight="false" outlineLevel="0" collapsed="false">
      <c r="A128" s="15"/>
      <c r="B128" s="16"/>
      <c r="C128" s="15"/>
      <c r="D128" s="15"/>
      <c r="E128" s="15"/>
      <c r="F128" s="15"/>
      <c r="G128" s="15"/>
      <c r="H128" s="17" t="str">
        <f aca="false">IF(E128="","",IF(F128="","check type",IF(IFERROR(INDEX(Codes!$B$3:$B$14,MATCH(F128,Codes!$A$3:$A$14,0)),0)=E128,"OK","points/type mismatch")))</f>
        <v/>
      </c>
    </row>
    <row r="129" customFormat="false" ht="15" hidden="false" customHeight="false" outlineLevel="0" collapsed="false">
      <c r="A129" s="15"/>
      <c r="B129" s="16"/>
      <c r="C129" s="15"/>
      <c r="D129" s="15"/>
      <c r="E129" s="15"/>
      <c r="F129" s="15"/>
      <c r="G129" s="15"/>
      <c r="H129" s="17" t="str">
        <f aca="false">IF(E129="","",IF(F129="","check type",IF(IFERROR(INDEX(Codes!$B$3:$B$14,MATCH(F129,Codes!$A$3:$A$14,0)),0)=E129,"OK","points/type mismatch")))</f>
        <v/>
      </c>
    </row>
    <row r="130" customFormat="false" ht="15" hidden="false" customHeight="false" outlineLevel="0" collapsed="false">
      <c r="A130" s="15"/>
      <c r="B130" s="16"/>
      <c r="C130" s="15"/>
      <c r="D130" s="15"/>
      <c r="E130" s="15"/>
      <c r="F130" s="15"/>
      <c r="G130" s="15"/>
      <c r="H130" s="17" t="str">
        <f aca="false">IF(E130="","",IF(F130="","check type",IF(IFERROR(INDEX(Codes!$B$3:$B$14,MATCH(F130,Codes!$A$3:$A$14,0)),0)=E130,"OK","points/type mismatch")))</f>
        <v/>
      </c>
    </row>
    <row r="131" customFormat="false" ht="15" hidden="false" customHeight="false" outlineLevel="0" collapsed="false">
      <c r="A131" s="15"/>
      <c r="B131" s="16"/>
      <c r="C131" s="15"/>
      <c r="D131" s="15"/>
      <c r="E131" s="15"/>
      <c r="F131" s="15"/>
      <c r="G131" s="15"/>
      <c r="H131" s="17" t="str">
        <f aca="false">IF(E131="","",IF(F131="","check type",IF(IFERROR(INDEX(Codes!$B$3:$B$14,MATCH(F131,Codes!$A$3:$A$14,0)),0)=E131,"OK","points/type mismatch")))</f>
        <v/>
      </c>
    </row>
    <row r="132" customFormat="false" ht="15" hidden="false" customHeight="false" outlineLevel="0" collapsed="false">
      <c r="A132" s="15"/>
      <c r="B132" s="16"/>
      <c r="C132" s="15"/>
      <c r="D132" s="15"/>
      <c r="E132" s="15"/>
      <c r="F132" s="15"/>
      <c r="G132" s="15"/>
      <c r="H132" s="17" t="str">
        <f aca="false">IF(E132="","",IF(F132="","check type",IF(IFERROR(INDEX(Codes!$B$3:$B$14,MATCH(F132,Codes!$A$3:$A$14,0)),0)=E132,"OK","points/type mismatch")))</f>
        <v/>
      </c>
    </row>
    <row r="133" customFormat="false" ht="15" hidden="false" customHeight="false" outlineLevel="0" collapsed="false">
      <c r="A133" s="15"/>
      <c r="B133" s="16"/>
      <c r="C133" s="15"/>
      <c r="D133" s="15"/>
      <c r="E133" s="15"/>
      <c r="F133" s="15"/>
      <c r="G133" s="15"/>
      <c r="H133" s="17" t="str">
        <f aca="false">IF(E133="","",IF(F133="","check type",IF(IFERROR(INDEX(Codes!$B$3:$B$14,MATCH(F133,Codes!$A$3:$A$14,0)),0)=E133,"OK","points/type mismatch")))</f>
        <v/>
      </c>
    </row>
    <row r="134" customFormat="false" ht="15" hidden="false" customHeight="false" outlineLevel="0" collapsed="false">
      <c r="A134" s="15"/>
      <c r="B134" s="16"/>
      <c r="C134" s="15"/>
      <c r="D134" s="15"/>
      <c r="E134" s="15"/>
      <c r="F134" s="15"/>
      <c r="G134" s="15"/>
      <c r="H134" s="17" t="str">
        <f aca="false">IF(E134="","",IF(F134="","check type",IF(IFERROR(INDEX(Codes!$B$3:$B$14,MATCH(F134,Codes!$A$3:$A$14,0)),0)=E134,"OK","points/type mismatch")))</f>
        <v/>
      </c>
    </row>
    <row r="135" customFormat="false" ht="15" hidden="false" customHeight="false" outlineLevel="0" collapsed="false">
      <c r="A135" s="15"/>
      <c r="B135" s="16"/>
      <c r="C135" s="15"/>
      <c r="D135" s="15"/>
      <c r="E135" s="15"/>
      <c r="F135" s="15"/>
      <c r="G135" s="15"/>
      <c r="H135" s="17" t="str">
        <f aca="false">IF(E135="","",IF(F135="","check type",IF(IFERROR(INDEX(Codes!$B$3:$B$14,MATCH(F135,Codes!$A$3:$A$14,0)),0)=E135,"OK","points/type mismatch")))</f>
        <v/>
      </c>
    </row>
    <row r="136" customFormat="false" ht="15" hidden="false" customHeight="false" outlineLevel="0" collapsed="false">
      <c r="A136" s="15"/>
      <c r="B136" s="16"/>
      <c r="C136" s="15"/>
      <c r="D136" s="15"/>
      <c r="E136" s="15"/>
      <c r="F136" s="15"/>
      <c r="G136" s="15"/>
      <c r="H136" s="17" t="str">
        <f aca="false">IF(E136="","",IF(F136="","check type",IF(IFERROR(INDEX(Codes!$B$3:$B$14,MATCH(F136,Codes!$A$3:$A$14,0)),0)=E136,"OK","points/type mismatch")))</f>
        <v/>
      </c>
    </row>
    <row r="137" customFormat="false" ht="15" hidden="false" customHeight="false" outlineLevel="0" collapsed="false">
      <c r="A137" s="15"/>
      <c r="B137" s="16"/>
      <c r="C137" s="15"/>
      <c r="D137" s="15"/>
      <c r="E137" s="15"/>
      <c r="F137" s="15"/>
      <c r="G137" s="15"/>
      <c r="H137" s="17" t="str">
        <f aca="false">IF(E137="","",IF(F137="","check type",IF(IFERROR(INDEX(Codes!$B$3:$B$14,MATCH(F137,Codes!$A$3:$A$14,0)),0)=E137,"OK","points/type mismatch")))</f>
        <v/>
      </c>
    </row>
    <row r="138" customFormat="false" ht="15" hidden="false" customHeight="false" outlineLevel="0" collapsed="false">
      <c r="A138" s="15"/>
      <c r="B138" s="16"/>
      <c r="C138" s="15"/>
      <c r="D138" s="15"/>
      <c r="E138" s="15"/>
      <c r="F138" s="15"/>
      <c r="G138" s="15"/>
      <c r="H138" s="17" t="str">
        <f aca="false">IF(E138="","",IF(F138="","check type",IF(IFERROR(INDEX(Codes!$B$3:$B$14,MATCH(F138,Codes!$A$3:$A$14,0)),0)=E138,"OK","points/type mismatch")))</f>
        <v/>
      </c>
    </row>
    <row r="139" customFormat="false" ht="15" hidden="false" customHeight="false" outlineLevel="0" collapsed="false">
      <c r="A139" s="15"/>
      <c r="B139" s="16"/>
      <c r="C139" s="15"/>
      <c r="D139" s="15"/>
      <c r="E139" s="15"/>
      <c r="F139" s="15"/>
      <c r="G139" s="15"/>
      <c r="H139" s="17" t="str">
        <f aca="false">IF(E139="","",IF(F139="","check type",IF(IFERROR(INDEX(Codes!$B$3:$B$14,MATCH(F139,Codes!$A$3:$A$14,0)),0)=E139,"OK","points/type mismatch")))</f>
        <v/>
      </c>
    </row>
    <row r="140" customFormat="false" ht="15" hidden="false" customHeight="false" outlineLevel="0" collapsed="false">
      <c r="A140" s="15"/>
      <c r="B140" s="16"/>
      <c r="C140" s="15"/>
      <c r="D140" s="15"/>
      <c r="E140" s="15"/>
      <c r="F140" s="15"/>
      <c r="G140" s="15"/>
      <c r="H140" s="17" t="str">
        <f aca="false">IF(E140="","",IF(F140="","check type",IF(IFERROR(INDEX(Codes!$B$3:$B$14,MATCH(F140,Codes!$A$3:$A$14,0)),0)=E140,"OK","points/type mismatch")))</f>
        <v/>
      </c>
    </row>
    <row r="141" customFormat="false" ht="15" hidden="false" customHeight="false" outlineLevel="0" collapsed="false">
      <c r="A141" s="15"/>
      <c r="B141" s="16"/>
      <c r="C141" s="15"/>
      <c r="D141" s="15"/>
      <c r="E141" s="15"/>
      <c r="F141" s="15"/>
      <c r="G141" s="15"/>
      <c r="H141" s="17" t="str">
        <f aca="false">IF(E141="","",IF(F141="","check type",IF(IFERROR(INDEX(Codes!$B$3:$B$14,MATCH(F141,Codes!$A$3:$A$14,0)),0)=E141,"OK","points/type mismatch")))</f>
        <v/>
      </c>
    </row>
    <row r="142" customFormat="false" ht="15" hidden="false" customHeight="false" outlineLevel="0" collapsed="false">
      <c r="A142" s="15"/>
      <c r="B142" s="16"/>
      <c r="C142" s="15"/>
      <c r="D142" s="15"/>
      <c r="E142" s="15"/>
      <c r="F142" s="15"/>
      <c r="G142" s="15"/>
      <c r="H142" s="17" t="str">
        <f aca="false">IF(E142="","",IF(F142="","check type",IF(IFERROR(INDEX(Codes!$B$3:$B$14,MATCH(F142,Codes!$A$3:$A$14,0)),0)=E142,"OK","points/type mismatch")))</f>
        <v/>
      </c>
    </row>
    <row r="143" customFormat="false" ht="15" hidden="false" customHeight="false" outlineLevel="0" collapsed="false">
      <c r="A143" s="15"/>
      <c r="B143" s="16"/>
      <c r="C143" s="15"/>
      <c r="D143" s="15"/>
      <c r="E143" s="15"/>
      <c r="F143" s="15"/>
      <c r="G143" s="15"/>
      <c r="H143" s="17" t="str">
        <f aca="false">IF(E143="","",IF(F143="","check type",IF(IFERROR(INDEX(Codes!$B$3:$B$14,MATCH(F143,Codes!$A$3:$A$14,0)),0)=E143,"OK","points/type mismatch")))</f>
        <v/>
      </c>
    </row>
    <row r="144" customFormat="false" ht="15" hidden="false" customHeight="false" outlineLevel="0" collapsed="false">
      <c r="A144" s="15"/>
      <c r="B144" s="16"/>
      <c r="C144" s="15"/>
      <c r="D144" s="15"/>
      <c r="E144" s="15"/>
      <c r="F144" s="15"/>
      <c r="G144" s="15"/>
      <c r="H144" s="17" t="str">
        <f aca="false">IF(E144="","",IF(F144="","check type",IF(IFERROR(INDEX(Codes!$B$3:$B$14,MATCH(F144,Codes!$A$3:$A$14,0)),0)=E144,"OK","points/type mismatch")))</f>
        <v/>
      </c>
    </row>
    <row r="145" customFormat="false" ht="15" hidden="false" customHeight="false" outlineLevel="0" collapsed="false">
      <c r="A145" s="15"/>
      <c r="B145" s="16"/>
      <c r="C145" s="15"/>
      <c r="D145" s="15"/>
      <c r="E145" s="15"/>
      <c r="F145" s="15"/>
      <c r="G145" s="15"/>
      <c r="H145" s="17" t="str">
        <f aca="false">IF(E145="","",IF(F145="","check type",IF(IFERROR(INDEX(Codes!$B$3:$B$14,MATCH(F145,Codes!$A$3:$A$14,0)),0)=E145,"OK","points/type mismatch")))</f>
        <v/>
      </c>
    </row>
    <row r="146" customFormat="false" ht="15" hidden="false" customHeight="false" outlineLevel="0" collapsed="false">
      <c r="A146" s="15"/>
      <c r="B146" s="16"/>
      <c r="C146" s="15"/>
      <c r="D146" s="15"/>
      <c r="E146" s="15"/>
      <c r="F146" s="15"/>
      <c r="G146" s="15"/>
      <c r="H146" s="17" t="str">
        <f aca="false">IF(E146="","",IF(F146="","check type",IF(IFERROR(INDEX(Codes!$B$3:$B$14,MATCH(F146,Codes!$A$3:$A$14,0)),0)=E146,"OK","points/type mismatch")))</f>
        <v/>
      </c>
    </row>
    <row r="147" customFormat="false" ht="15" hidden="false" customHeight="false" outlineLevel="0" collapsed="false">
      <c r="A147" s="15"/>
      <c r="B147" s="16"/>
      <c r="C147" s="15"/>
      <c r="D147" s="15"/>
      <c r="E147" s="15"/>
      <c r="F147" s="15"/>
      <c r="G147" s="15"/>
      <c r="H147" s="17" t="str">
        <f aca="false">IF(E147="","",IF(F147="","check type",IF(IFERROR(INDEX(Codes!$B$3:$B$14,MATCH(F147,Codes!$A$3:$A$14,0)),0)=E147,"OK","points/type mismatch")))</f>
        <v/>
      </c>
    </row>
    <row r="148" customFormat="false" ht="15" hidden="false" customHeight="false" outlineLevel="0" collapsed="false">
      <c r="A148" s="15"/>
      <c r="B148" s="16"/>
      <c r="C148" s="15"/>
      <c r="D148" s="15"/>
      <c r="E148" s="15"/>
      <c r="F148" s="15"/>
      <c r="G148" s="15"/>
      <c r="H148" s="17" t="str">
        <f aca="false">IF(E148="","",IF(F148="","check type",IF(IFERROR(INDEX(Codes!$B$3:$B$14,MATCH(F148,Codes!$A$3:$A$14,0)),0)=E148,"OK","points/type mismatch")))</f>
        <v/>
      </c>
    </row>
    <row r="149" customFormat="false" ht="15" hidden="false" customHeight="false" outlineLevel="0" collapsed="false">
      <c r="A149" s="15"/>
      <c r="B149" s="16"/>
      <c r="C149" s="15"/>
      <c r="D149" s="15"/>
      <c r="E149" s="15"/>
      <c r="F149" s="15"/>
      <c r="G149" s="15"/>
      <c r="H149" s="17" t="str">
        <f aca="false">IF(E149="","",IF(F149="","check type",IF(IFERROR(INDEX(Codes!$B$3:$B$14,MATCH(F149,Codes!$A$3:$A$14,0)),0)=E149,"OK","points/type mismatch")))</f>
        <v/>
      </c>
    </row>
    <row r="150" customFormat="false" ht="15" hidden="false" customHeight="false" outlineLevel="0" collapsed="false">
      <c r="A150" s="15"/>
      <c r="B150" s="16"/>
      <c r="C150" s="15"/>
      <c r="D150" s="15"/>
      <c r="E150" s="15"/>
      <c r="F150" s="15"/>
      <c r="G150" s="15"/>
      <c r="H150" s="17" t="str">
        <f aca="false">IF(E150="","",IF(F150="","check type",IF(IFERROR(INDEX(Codes!$B$3:$B$14,MATCH(F150,Codes!$A$3:$A$14,0)),0)=E150,"OK","points/type mismatch")))</f>
        <v/>
      </c>
    </row>
    <row r="151" customFormat="false" ht="15" hidden="false" customHeight="false" outlineLevel="0" collapsed="false">
      <c r="A151" s="15"/>
      <c r="B151" s="16"/>
      <c r="C151" s="15"/>
      <c r="D151" s="15"/>
      <c r="E151" s="15"/>
      <c r="F151" s="15"/>
      <c r="G151" s="15"/>
      <c r="H151" s="17" t="str">
        <f aca="false">IF(E151="","",IF(F151="","check type",IF(IFERROR(INDEX(Codes!$B$3:$B$14,MATCH(F151,Codes!$A$3:$A$14,0)),0)=E151,"OK","points/type mismatch")))</f>
        <v/>
      </c>
    </row>
    <row r="152" customFormat="false" ht="15" hidden="false" customHeight="false" outlineLevel="0" collapsed="false">
      <c r="A152" s="15"/>
      <c r="B152" s="16"/>
      <c r="C152" s="15"/>
      <c r="D152" s="15"/>
      <c r="E152" s="15"/>
      <c r="F152" s="15"/>
      <c r="G152" s="15"/>
      <c r="H152" s="17" t="str">
        <f aca="false">IF(E152="","",IF(F152="","check type",IF(IFERROR(INDEX(Codes!$B$3:$B$14,MATCH(F152,Codes!$A$3:$A$14,0)),0)=E152,"OK","points/type mismatch")))</f>
        <v/>
      </c>
    </row>
    <row r="153" customFormat="false" ht="15" hidden="false" customHeight="false" outlineLevel="0" collapsed="false">
      <c r="A153" s="15"/>
      <c r="B153" s="16"/>
      <c r="C153" s="15"/>
      <c r="D153" s="15"/>
      <c r="E153" s="15"/>
      <c r="F153" s="15"/>
      <c r="G153" s="15"/>
      <c r="H153" s="17" t="str">
        <f aca="false">IF(E153="","",IF(F153="","check type",IF(IFERROR(INDEX(Codes!$B$3:$B$14,MATCH(F153,Codes!$A$3:$A$14,0)),0)=E153,"OK","points/type mismatch")))</f>
        <v/>
      </c>
    </row>
    <row r="154" customFormat="false" ht="15" hidden="false" customHeight="false" outlineLevel="0" collapsed="false">
      <c r="A154" s="15"/>
      <c r="B154" s="16"/>
      <c r="C154" s="15"/>
      <c r="D154" s="15"/>
      <c r="E154" s="15"/>
      <c r="F154" s="15"/>
      <c r="G154" s="15"/>
      <c r="H154" s="17" t="str">
        <f aca="false">IF(E154="","",IF(F154="","check type",IF(IFERROR(INDEX(Codes!$B$3:$B$14,MATCH(F154,Codes!$A$3:$A$14,0)),0)=E154,"OK","points/type mismatch")))</f>
        <v/>
      </c>
    </row>
    <row r="155" customFormat="false" ht="15" hidden="false" customHeight="false" outlineLevel="0" collapsed="false">
      <c r="A155" s="15"/>
      <c r="B155" s="16"/>
      <c r="C155" s="15"/>
      <c r="D155" s="15"/>
      <c r="E155" s="15"/>
      <c r="F155" s="15"/>
      <c r="G155" s="15"/>
      <c r="H155" s="17" t="str">
        <f aca="false">IF(E155="","",IF(F155="","check type",IF(IFERROR(INDEX(Codes!$B$3:$B$14,MATCH(F155,Codes!$A$3:$A$14,0)),0)=E155,"OK","points/type mismatch")))</f>
        <v/>
      </c>
    </row>
    <row r="156" customFormat="false" ht="15" hidden="false" customHeight="false" outlineLevel="0" collapsed="false">
      <c r="A156" s="15"/>
      <c r="B156" s="16"/>
      <c r="C156" s="15"/>
      <c r="D156" s="15"/>
      <c r="E156" s="15"/>
      <c r="F156" s="15"/>
      <c r="G156" s="15"/>
      <c r="H156" s="17" t="str">
        <f aca="false">IF(E156="","",IF(F156="","check type",IF(IFERROR(INDEX(Codes!$B$3:$B$14,MATCH(F156,Codes!$A$3:$A$14,0)),0)=E156,"OK","points/type mismatch")))</f>
        <v/>
      </c>
    </row>
    <row r="157" customFormat="false" ht="15" hidden="false" customHeight="false" outlineLevel="0" collapsed="false">
      <c r="A157" s="15"/>
      <c r="B157" s="16"/>
      <c r="C157" s="15"/>
      <c r="D157" s="15"/>
      <c r="E157" s="15"/>
      <c r="F157" s="15"/>
      <c r="G157" s="15"/>
      <c r="H157" s="17" t="str">
        <f aca="false">IF(E157="","",IF(F157="","check type",IF(IFERROR(INDEX(Codes!$B$3:$B$14,MATCH(F157,Codes!$A$3:$A$14,0)),0)=E157,"OK","points/type mismatch")))</f>
        <v/>
      </c>
    </row>
    <row r="158" customFormat="false" ht="15" hidden="false" customHeight="false" outlineLevel="0" collapsed="false">
      <c r="A158" s="15"/>
      <c r="B158" s="16"/>
      <c r="C158" s="15"/>
      <c r="D158" s="15"/>
      <c r="E158" s="15"/>
      <c r="F158" s="15"/>
      <c r="G158" s="15"/>
      <c r="H158" s="17" t="str">
        <f aca="false">IF(E158="","",IF(F158="","check type",IF(IFERROR(INDEX(Codes!$B$3:$B$14,MATCH(F158,Codes!$A$3:$A$14,0)),0)=E158,"OK","points/type mismatch")))</f>
        <v/>
      </c>
    </row>
    <row r="159" customFormat="false" ht="15" hidden="false" customHeight="false" outlineLevel="0" collapsed="false">
      <c r="A159" s="15"/>
      <c r="B159" s="16"/>
      <c r="C159" s="15"/>
      <c r="D159" s="15"/>
      <c r="E159" s="15"/>
      <c r="F159" s="15"/>
      <c r="G159" s="15"/>
      <c r="H159" s="17" t="str">
        <f aca="false">IF(E159="","",IF(F159="","check type",IF(IFERROR(INDEX(Codes!$B$3:$B$14,MATCH(F159,Codes!$A$3:$A$14,0)),0)=E159,"OK","points/type mismatch")))</f>
        <v/>
      </c>
    </row>
    <row r="160" customFormat="false" ht="15" hidden="false" customHeight="false" outlineLevel="0" collapsed="false">
      <c r="A160" s="15"/>
      <c r="B160" s="16"/>
      <c r="C160" s="15"/>
      <c r="D160" s="15"/>
      <c r="E160" s="15"/>
      <c r="F160" s="15"/>
      <c r="G160" s="15"/>
      <c r="H160" s="17" t="str">
        <f aca="false">IF(E160="","",IF(F160="","check type",IF(IFERROR(INDEX(Codes!$B$3:$B$14,MATCH(F160,Codes!$A$3:$A$14,0)),0)=E160,"OK","points/type mismatch")))</f>
        <v/>
      </c>
    </row>
    <row r="161" customFormat="false" ht="15" hidden="false" customHeight="false" outlineLevel="0" collapsed="false">
      <c r="A161" s="15"/>
      <c r="B161" s="16"/>
      <c r="C161" s="15"/>
      <c r="D161" s="15"/>
      <c r="E161" s="15"/>
      <c r="F161" s="15"/>
      <c r="G161" s="15"/>
      <c r="H161" s="17" t="str">
        <f aca="false">IF(E161="","",IF(F161="","check type",IF(IFERROR(INDEX(Codes!$B$3:$B$14,MATCH(F161,Codes!$A$3:$A$14,0)),0)=E161,"OK","points/type mismatch")))</f>
        <v/>
      </c>
    </row>
    <row r="162" customFormat="false" ht="15" hidden="false" customHeight="false" outlineLevel="0" collapsed="false">
      <c r="A162" s="15"/>
      <c r="B162" s="16"/>
      <c r="C162" s="15"/>
      <c r="D162" s="15"/>
      <c r="E162" s="15"/>
      <c r="F162" s="15"/>
      <c r="G162" s="15"/>
      <c r="H162" s="17" t="str">
        <f aca="false">IF(E162="","",IF(F162="","check type",IF(IFERROR(INDEX(Codes!$B$3:$B$14,MATCH(F162,Codes!$A$3:$A$14,0)),0)=E162,"OK","points/type mismatch")))</f>
        <v/>
      </c>
    </row>
    <row r="163" customFormat="false" ht="15" hidden="false" customHeight="false" outlineLevel="0" collapsed="false">
      <c r="A163" s="15"/>
      <c r="B163" s="16"/>
      <c r="C163" s="15"/>
      <c r="D163" s="15"/>
      <c r="E163" s="15"/>
      <c r="F163" s="15"/>
      <c r="G163" s="15"/>
      <c r="H163" s="17" t="str">
        <f aca="false">IF(E163="","",IF(F163="","check type",IF(IFERROR(INDEX(Codes!$B$3:$B$14,MATCH(F163,Codes!$A$3:$A$14,0)),0)=E163,"OK","points/type mismatch")))</f>
        <v/>
      </c>
    </row>
    <row r="164" customFormat="false" ht="15" hidden="false" customHeight="false" outlineLevel="0" collapsed="false">
      <c r="A164" s="15"/>
      <c r="B164" s="16"/>
      <c r="C164" s="15"/>
      <c r="D164" s="15"/>
      <c r="E164" s="15"/>
      <c r="F164" s="15"/>
      <c r="G164" s="15"/>
      <c r="H164" s="17" t="str">
        <f aca="false">IF(E164="","",IF(F164="","check type",IF(IFERROR(INDEX(Codes!$B$3:$B$14,MATCH(F164,Codes!$A$3:$A$14,0)),0)=E164,"OK","points/type mismatch")))</f>
        <v/>
      </c>
    </row>
    <row r="165" customFormat="false" ht="15" hidden="false" customHeight="false" outlineLevel="0" collapsed="false">
      <c r="A165" s="15"/>
      <c r="B165" s="16"/>
      <c r="C165" s="15"/>
      <c r="D165" s="15"/>
      <c r="E165" s="15"/>
      <c r="F165" s="15"/>
      <c r="G165" s="15"/>
      <c r="H165" s="17" t="str">
        <f aca="false">IF(E165="","",IF(F165="","check type",IF(IFERROR(INDEX(Codes!$B$3:$B$14,MATCH(F165,Codes!$A$3:$A$14,0)),0)=E165,"OK","points/type mismatch")))</f>
        <v/>
      </c>
    </row>
    <row r="166" customFormat="false" ht="15" hidden="false" customHeight="false" outlineLevel="0" collapsed="false">
      <c r="A166" s="15"/>
      <c r="B166" s="16"/>
      <c r="C166" s="15"/>
      <c r="D166" s="15"/>
      <c r="E166" s="15"/>
      <c r="F166" s="15"/>
      <c r="G166" s="15"/>
      <c r="H166" s="17" t="str">
        <f aca="false">IF(E166="","",IF(F166="","check type",IF(IFERROR(INDEX(Codes!$B$3:$B$14,MATCH(F166,Codes!$A$3:$A$14,0)),0)=E166,"OK","points/type mismatch")))</f>
        <v/>
      </c>
    </row>
    <row r="167" customFormat="false" ht="15" hidden="false" customHeight="false" outlineLevel="0" collapsed="false">
      <c r="A167" s="15"/>
      <c r="B167" s="16"/>
      <c r="C167" s="15"/>
      <c r="D167" s="15"/>
      <c r="E167" s="15"/>
      <c r="F167" s="15"/>
      <c r="G167" s="15"/>
      <c r="H167" s="17" t="str">
        <f aca="false">IF(E167="","",IF(F167="","check type",IF(IFERROR(INDEX(Codes!$B$3:$B$14,MATCH(F167,Codes!$A$3:$A$14,0)),0)=E167,"OK","points/type mismatch")))</f>
        <v/>
      </c>
    </row>
    <row r="168" customFormat="false" ht="15" hidden="false" customHeight="false" outlineLevel="0" collapsed="false">
      <c r="A168" s="15"/>
      <c r="B168" s="16"/>
      <c r="C168" s="15"/>
      <c r="D168" s="15"/>
      <c r="E168" s="15"/>
      <c r="F168" s="15"/>
      <c r="G168" s="15"/>
      <c r="H168" s="17" t="str">
        <f aca="false">IF(E168="","",IF(F168="","check type",IF(IFERROR(INDEX(Codes!$B$3:$B$14,MATCH(F168,Codes!$A$3:$A$14,0)),0)=E168,"OK","points/type mismatch")))</f>
        <v/>
      </c>
    </row>
    <row r="169" customFormat="false" ht="15" hidden="false" customHeight="false" outlineLevel="0" collapsed="false">
      <c r="A169" s="15"/>
      <c r="B169" s="16"/>
      <c r="C169" s="15"/>
      <c r="D169" s="15"/>
      <c r="E169" s="15"/>
      <c r="F169" s="15"/>
      <c r="G169" s="15"/>
      <c r="H169" s="17" t="str">
        <f aca="false">IF(E169="","",IF(F169="","check type",IF(IFERROR(INDEX(Codes!$B$3:$B$14,MATCH(F169,Codes!$A$3:$A$14,0)),0)=E169,"OK","points/type mismatch")))</f>
        <v/>
      </c>
    </row>
    <row r="170" customFormat="false" ht="15" hidden="false" customHeight="false" outlineLevel="0" collapsed="false">
      <c r="A170" s="15"/>
      <c r="B170" s="16"/>
      <c r="C170" s="15"/>
      <c r="D170" s="15"/>
      <c r="E170" s="15"/>
      <c r="F170" s="15"/>
      <c r="G170" s="15"/>
      <c r="H170" s="17" t="str">
        <f aca="false">IF(E170="","",IF(F170="","check type",IF(IFERROR(INDEX(Codes!$B$3:$B$14,MATCH(F170,Codes!$A$3:$A$14,0)),0)=E170,"OK","points/type mismatch")))</f>
        <v/>
      </c>
    </row>
    <row r="171" customFormat="false" ht="15" hidden="false" customHeight="false" outlineLevel="0" collapsed="false">
      <c r="A171" s="15"/>
      <c r="B171" s="16"/>
      <c r="C171" s="15"/>
      <c r="D171" s="15"/>
      <c r="E171" s="15"/>
      <c r="F171" s="15"/>
      <c r="G171" s="15"/>
      <c r="H171" s="17" t="str">
        <f aca="false">IF(E171="","",IF(F171="","check type",IF(IFERROR(INDEX(Codes!$B$3:$B$14,MATCH(F171,Codes!$A$3:$A$14,0)),0)=E171,"OK","points/type mismatch")))</f>
        <v/>
      </c>
    </row>
    <row r="172" customFormat="false" ht="15" hidden="false" customHeight="false" outlineLevel="0" collapsed="false">
      <c r="A172" s="15"/>
      <c r="B172" s="16"/>
      <c r="C172" s="15"/>
      <c r="D172" s="15"/>
      <c r="E172" s="15"/>
      <c r="F172" s="15"/>
      <c r="G172" s="15"/>
      <c r="H172" s="17" t="str">
        <f aca="false">IF(E172="","",IF(F172="","check type",IF(IFERROR(INDEX(Codes!$B$3:$B$14,MATCH(F172,Codes!$A$3:$A$14,0)),0)=E172,"OK","points/type mismatch")))</f>
        <v/>
      </c>
    </row>
    <row r="173" customFormat="false" ht="15" hidden="false" customHeight="false" outlineLevel="0" collapsed="false">
      <c r="A173" s="15"/>
      <c r="B173" s="16"/>
      <c r="C173" s="15"/>
      <c r="D173" s="15"/>
      <c r="E173" s="15"/>
      <c r="F173" s="15"/>
      <c r="G173" s="15"/>
      <c r="H173" s="17" t="str">
        <f aca="false">IF(E173="","",IF(F173="","check type",IF(IFERROR(INDEX(Codes!$B$3:$B$14,MATCH(F173,Codes!$A$3:$A$14,0)),0)=E173,"OK","points/type mismatch")))</f>
        <v/>
      </c>
    </row>
    <row r="174" customFormat="false" ht="15" hidden="false" customHeight="false" outlineLevel="0" collapsed="false">
      <c r="A174" s="15"/>
      <c r="B174" s="16"/>
      <c r="C174" s="15"/>
      <c r="D174" s="15"/>
      <c r="E174" s="15"/>
      <c r="F174" s="15"/>
      <c r="G174" s="15"/>
      <c r="H174" s="17" t="str">
        <f aca="false">IF(E174="","",IF(F174="","check type",IF(IFERROR(INDEX(Codes!$B$3:$B$14,MATCH(F174,Codes!$A$3:$A$14,0)),0)=E174,"OK","points/type mismatch")))</f>
        <v/>
      </c>
    </row>
    <row r="175" customFormat="false" ht="15" hidden="false" customHeight="false" outlineLevel="0" collapsed="false">
      <c r="A175" s="15"/>
      <c r="B175" s="16"/>
      <c r="C175" s="15"/>
      <c r="D175" s="15"/>
      <c r="E175" s="15"/>
      <c r="F175" s="15"/>
      <c r="G175" s="15"/>
      <c r="H175" s="17" t="str">
        <f aca="false">IF(E175="","",IF(F175="","check type",IF(IFERROR(INDEX(Codes!$B$3:$B$14,MATCH(F175,Codes!$A$3:$A$14,0)),0)=E175,"OK","points/type mismatch")))</f>
        <v/>
      </c>
    </row>
    <row r="176" customFormat="false" ht="15" hidden="false" customHeight="false" outlineLevel="0" collapsed="false">
      <c r="A176" s="15"/>
      <c r="B176" s="16"/>
      <c r="C176" s="15"/>
      <c r="D176" s="15"/>
      <c r="E176" s="15"/>
      <c r="F176" s="15"/>
      <c r="G176" s="15"/>
      <c r="H176" s="17" t="str">
        <f aca="false">IF(E176="","",IF(F176="","check type",IF(IFERROR(INDEX(Codes!$B$3:$B$14,MATCH(F176,Codes!$A$3:$A$14,0)),0)=E176,"OK","points/type mismatch")))</f>
        <v/>
      </c>
    </row>
    <row r="177" customFormat="false" ht="15" hidden="false" customHeight="false" outlineLevel="0" collapsed="false">
      <c r="A177" s="15"/>
      <c r="B177" s="16"/>
      <c r="C177" s="15"/>
      <c r="D177" s="15"/>
      <c r="E177" s="15"/>
      <c r="F177" s="15"/>
      <c r="G177" s="15"/>
      <c r="H177" s="17" t="str">
        <f aca="false">IF(E177="","",IF(F177="","check type",IF(IFERROR(INDEX(Codes!$B$3:$B$14,MATCH(F177,Codes!$A$3:$A$14,0)),0)=E177,"OK","points/type mismatch")))</f>
        <v/>
      </c>
    </row>
    <row r="178" customFormat="false" ht="15" hidden="false" customHeight="false" outlineLevel="0" collapsed="false">
      <c r="A178" s="15"/>
      <c r="B178" s="16"/>
      <c r="C178" s="15"/>
      <c r="D178" s="15"/>
      <c r="E178" s="15"/>
      <c r="F178" s="15"/>
      <c r="G178" s="15"/>
      <c r="H178" s="17" t="str">
        <f aca="false">IF(E178="","",IF(F178="","check type",IF(IFERROR(INDEX(Codes!$B$3:$B$14,MATCH(F178,Codes!$A$3:$A$14,0)),0)=E178,"OK","points/type mismatch")))</f>
        <v/>
      </c>
    </row>
    <row r="179" customFormat="false" ht="15" hidden="false" customHeight="false" outlineLevel="0" collapsed="false">
      <c r="A179" s="15"/>
      <c r="B179" s="16"/>
      <c r="C179" s="15"/>
      <c r="D179" s="15"/>
      <c r="E179" s="15"/>
      <c r="F179" s="15"/>
      <c r="G179" s="15"/>
      <c r="H179" s="17" t="str">
        <f aca="false">IF(E179="","",IF(F179="","check type",IF(IFERROR(INDEX(Codes!$B$3:$B$14,MATCH(F179,Codes!$A$3:$A$14,0)),0)=E179,"OK","points/type mismatch")))</f>
        <v/>
      </c>
    </row>
    <row r="180" customFormat="false" ht="15" hidden="false" customHeight="false" outlineLevel="0" collapsed="false">
      <c r="A180" s="15"/>
      <c r="B180" s="16"/>
      <c r="C180" s="15"/>
      <c r="D180" s="15"/>
      <c r="E180" s="15"/>
      <c r="F180" s="15"/>
      <c r="G180" s="15"/>
      <c r="H180" s="17" t="str">
        <f aca="false">IF(E180="","",IF(F180="","check type",IF(IFERROR(INDEX(Codes!$B$3:$B$14,MATCH(F180,Codes!$A$3:$A$14,0)),0)=E180,"OK","points/type mismatch")))</f>
        <v/>
      </c>
    </row>
    <row r="181" customFormat="false" ht="15" hidden="false" customHeight="false" outlineLevel="0" collapsed="false">
      <c r="A181" s="15"/>
      <c r="B181" s="16"/>
      <c r="C181" s="15"/>
      <c r="D181" s="15"/>
      <c r="E181" s="15"/>
      <c r="F181" s="15"/>
      <c r="G181" s="15"/>
      <c r="H181" s="17" t="str">
        <f aca="false">IF(E181="","",IF(F181="","check type",IF(IFERROR(INDEX(Codes!$B$3:$B$14,MATCH(F181,Codes!$A$3:$A$14,0)),0)=E181,"OK","points/type mismatch")))</f>
        <v/>
      </c>
    </row>
    <row r="182" customFormat="false" ht="15" hidden="false" customHeight="false" outlineLevel="0" collapsed="false">
      <c r="A182" s="15"/>
      <c r="B182" s="16"/>
      <c r="C182" s="15"/>
      <c r="D182" s="15"/>
      <c r="E182" s="15"/>
      <c r="F182" s="15"/>
      <c r="G182" s="15"/>
      <c r="H182" s="17" t="str">
        <f aca="false">IF(E182="","",IF(F182="","check type",IF(IFERROR(INDEX(Codes!$B$3:$B$14,MATCH(F182,Codes!$A$3:$A$14,0)),0)=E182,"OK","points/type mismatch")))</f>
        <v/>
      </c>
    </row>
    <row r="183" customFormat="false" ht="15" hidden="false" customHeight="false" outlineLevel="0" collapsed="false">
      <c r="A183" s="15"/>
      <c r="B183" s="16"/>
      <c r="C183" s="15"/>
      <c r="D183" s="15"/>
      <c r="E183" s="15"/>
      <c r="F183" s="15"/>
      <c r="G183" s="15"/>
      <c r="H183" s="17" t="str">
        <f aca="false">IF(E183="","",IF(F183="","check type",IF(IFERROR(INDEX(Codes!$B$3:$B$14,MATCH(F183,Codes!$A$3:$A$14,0)),0)=E183,"OK","points/type mismatch")))</f>
        <v/>
      </c>
    </row>
    <row r="184" customFormat="false" ht="15" hidden="false" customHeight="false" outlineLevel="0" collapsed="false">
      <c r="A184" s="15"/>
      <c r="B184" s="16"/>
      <c r="C184" s="15"/>
      <c r="D184" s="15"/>
      <c r="E184" s="15"/>
      <c r="F184" s="15"/>
      <c r="G184" s="15"/>
      <c r="H184" s="17" t="str">
        <f aca="false">IF(E184="","",IF(F184="","check type",IF(IFERROR(INDEX(Codes!$B$3:$B$14,MATCH(F184,Codes!$A$3:$A$14,0)),0)=E184,"OK","points/type mismatch")))</f>
        <v/>
      </c>
    </row>
    <row r="185" customFormat="false" ht="15" hidden="false" customHeight="false" outlineLevel="0" collapsed="false">
      <c r="A185" s="15"/>
      <c r="B185" s="16"/>
      <c r="C185" s="15"/>
      <c r="D185" s="15"/>
      <c r="E185" s="15"/>
      <c r="F185" s="15"/>
      <c r="G185" s="15"/>
      <c r="H185" s="17" t="str">
        <f aca="false">IF(E185="","",IF(F185="","check type",IF(IFERROR(INDEX(Codes!$B$3:$B$14,MATCH(F185,Codes!$A$3:$A$14,0)),0)=E185,"OK","points/type mismatch")))</f>
        <v/>
      </c>
    </row>
    <row r="186" customFormat="false" ht="15" hidden="false" customHeight="false" outlineLevel="0" collapsed="false">
      <c r="A186" s="15"/>
      <c r="B186" s="16"/>
      <c r="C186" s="15"/>
      <c r="D186" s="15"/>
      <c r="E186" s="15"/>
      <c r="F186" s="15"/>
      <c r="G186" s="15"/>
      <c r="H186" s="17" t="str">
        <f aca="false">IF(E186="","",IF(F186="","check type",IF(IFERROR(INDEX(Codes!$B$3:$B$14,MATCH(F186,Codes!$A$3:$A$14,0)),0)=E186,"OK","points/type mismatch")))</f>
        <v/>
      </c>
    </row>
    <row r="187" customFormat="false" ht="15" hidden="false" customHeight="false" outlineLevel="0" collapsed="false">
      <c r="A187" s="15"/>
      <c r="B187" s="16"/>
      <c r="C187" s="15"/>
      <c r="D187" s="15"/>
      <c r="E187" s="15"/>
      <c r="F187" s="15"/>
      <c r="G187" s="15"/>
      <c r="H187" s="17" t="str">
        <f aca="false">IF(E187="","",IF(F187="","check type",IF(IFERROR(INDEX(Codes!$B$3:$B$14,MATCH(F187,Codes!$A$3:$A$14,0)),0)=E187,"OK","points/type mismatch")))</f>
        <v/>
      </c>
    </row>
    <row r="188" customFormat="false" ht="15" hidden="false" customHeight="false" outlineLevel="0" collapsed="false">
      <c r="A188" s="15"/>
      <c r="B188" s="16"/>
      <c r="C188" s="15"/>
      <c r="D188" s="15"/>
      <c r="E188" s="15"/>
      <c r="F188" s="15"/>
      <c r="G188" s="15"/>
      <c r="H188" s="17" t="str">
        <f aca="false">IF(E188="","",IF(F188="","check type",IF(IFERROR(INDEX(Codes!$B$3:$B$14,MATCH(F188,Codes!$A$3:$A$14,0)),0)=E188,"OK","points/type mismatch")))</f>
        <v/>
      </c>
    </row>
    <row r="189" customFormat="false" ht="15" hidden="false" customHeight="false" outlineLevel="0" collapsed="false">
      <c r="A189" s="15"/>
      <c r="B189" s="16"/>
      <c r="C189" s="15"/>
      <c r="D189" s="15"/>
      <c r="E189" s="15"/>
      <c r="F189" s="15"/>
      <c r="G189" s="15"/>
      <c r="H189" s="17" t="str">
        <f aca="false">IF(E189="","",IF(F189="","check type",IF(IFERROR(INDEX(Codes!$B$3:$B$14,MATCH(F189,Codes!$A$3:$A$14,0)),0)=E189,"OK","points/type mismatch")))</f>
        <v/>
      </c>
    </row>
    <row r="190" customFormat="false" ht="15" hidden="false" customHeight="false" outlineLevel="0" collapsed="false">
      <c r="A190" s="15"/>
      <c r="B190" s="16"/>
      <c r="C190" s="15"/>
      <c r="D190" s="15"/>
      <c r="E190" s="15"/>
      <c r="F190" s="15"/>
      <c r="G190" s="15"/>
      <c r="H190" s="17" t="str">
        <f aca="false">IF(E190="","",IF(F190="","check type",IF(IFERROR(INDEX(Codes!$B$3:$B$14,MATCH(F190,Codes!$A$3:$A$14,0)),0)=E190,"OK","points/type mismatch")))</f>
        <v/>
      </c>
    </row>
    <row r="191" customFormat="false" ht="15" hidden="false" customHeight="false" outlineLevel="0" collapsed="false">
      <c r="A191" s="15"/>
      <c r="B191" s="16"/>
      <c r="C191" s="15"/>
      <c r="D191" s="15"/>
      <c r="E191" s="15"/>
      <c r="F191" s="15"/>
      <c r="G191" s="15"/>
      <c r="H191" s="17" t="str">
        <f aca="false">IF(E191="","",IF(F191="","check type",IF(IFERROR(INDEX(Codes!$B$3:$B$14,MATCH(F191,Codes!$A$3:$A$14,0)),0)=E191,"OK","points/type mismatch")))</f>
        <v/>
      </c>
    </row>
    <row r="192" customFormat="false" ht="15" hidden="false" customHeight="false" outlineLevel="0" collapsed="false">
      <c r="A192" s="15"/>
      <c r="B192" s="16"/>
      <c r="C192" s="15"/>
      <c r="D192" s="15"/>
      <c r="E192" s="15"/>
      <c r="F192" s="15"/>
      <c r="G192" s="15"/>
      <c r="H192" s="17" t="str">
        <f aca="false">IF(E192="","",IF(F192="","check type",IF(IFERROR(INDEX(Codes!$B$3:$B$14,MATCH(F192,Codes!$A$3:$A$14,0)),0)=E192,"OK","points/type mismatch")))</f>
        <v/>
      </c>
    </row>
    <row r="193" customFormat="false" ht="15" hidden="false" customHeight="false" outlineLevel="0" collapsed="false">
      <c r="A193" s="15"/>
      <c r="B193" s="16"/>
      <c r="C193" s="15"/>
      <c r="D193" s="15"/>
      <c r="E193" s="15"/>
      <c r="F193" s="15"/>
      <c r="G193" s="15"/>
      <c r="H193" s="17" t="str">
        <f aca="false">IF(E193="","",IF(F193="","check type",IF(IFERROR(INDEX(Codes!$B$3:$B$14,MATCH(F193,Codes!$A$3:$A$14,0)),0)=E193,"OK","points/type mismatch")))</f>
        <v/>
      </c>
    </row>
    <row r="194" customFormat="false" ht="15" hidden="false" customHeight="false" outlineLevel="0" collapsed="false">
      <c r="A194" s="15"/>
      <c r="B194" s="16"/>
      <c r="C194" s="15"/>
      <c r="D194" s="15"/>
      <c r="E194" s="15"/>
      <c r="F194" s="15"/>
      <c r="G194" s="15"/>
      <c r="H194" s="17" t="str">
        <f aca="false">IF(E194="","",IF(F194="","check type",IF(IFERROR(INDEX(Codes!$B$3:$B$14,MATCH(F194,Codes!$A$3:$A$14,0)),0)=E194,"OK","points/type mismatch")))</f>
        <v/>
      </c>
    </row>
    <row r="195" customFormat="false" ht="15" hidden="false" customHeight="false" outlineLevel="0" collapsed="false">
      <c r="A195" s="15"/>
      <c r="B195" s="16"/>
      <c r="C195" s="15"/>
      <c r="D195" s="15"/>
      <c r="E195" s="15"/>
      <c r="F195" s="15"/>
      <c r="G195" s="15"/>
      <c r="H195" s="17" t="str">
        <f aca="false">IF(E195="","",IF(F195="","check type",IF(IFERROR(INDEX(Codes!$B$3:$B$14,MATCH(F195,Codes!$A$3:$A$14,0)),0)=E195,"OK","points/type mismatch")))</f>
        <v/>
      </c>
    </row>
    <row r="196" customFormat="false" ht="15" hidden="false" customHeight="false" outlineLevel="0" collapsed="false">
      <c r="A196" s="15"/>
      <c r="B196" s="16"/>
      <c r="C196" s="15"/>
      <c r="D196" s="15"/>
      <c r="E196" s="15"/>
      <c r="F196" s="15"/>
      <c r="G196" s="15"/>
      <c r="H196" s="17" t="str">
        <f aca="false">IF(E196="","",IF(F196="","check type",IF(IFERROR(INDEX(Codes!$B$3:$B$14,MATCH(F196,Codes!$A$3:$A$14,0)),0)=E196,"OK","points/type mismatch")))</f>
        <v/>
      </c>
    </row>
    <row r="197" customFormat="false" ht="15" hidden="false" customHeight="false" outlineLevel="0" collapsed="false">
      <c r="A197" s="15"/>
      <c r="B197" s="16"/>
      <c r="C197" s="15"/>
      <c r="D197" s="15"/>
      <c r="E197" s="15"/>
      <c r="F197" s="15"/>
      <c r="G197" s="15"/>
      <c r="H197" s="17" t="str">
        <f aca="false">IF(E197="","",IF(F197="","check type",IF(IFERROR(INDEX(Codes!$B$3:$B$14,MATCH(F197,Codes!$A$3:$A$14,0)),0)=E197,"OK","points/type mismatch")))</f>
        <v/>
      </c>
    </row>
    <row r="198" customFormat="false" ht="15" hidden="false" customHeight="false" outlineLevel="0" collapsed="false">
      <c r="A198" s="15"/>
      <c r="B198" s="16"/>
      <c r="C198" s="15"/>
      <c r="D198" s="15"/>
      <c r="E198" s="15"/>
      <c r="F198" s="15"/>
      <c r="G198" s="15"/>
      <c r="H198" s="17" t="str">
        <f aca="false">IF(E198="","",IF(F198="","check type",IF(IFERROR(INDEX(Codes!$B$3:$B$14,MATCH(F198,Codes!$A$3:$A$14,0)),0)=E198,"OK","points/type mismatch")))</f>
        <v/>
      </c>
    </row>
    <row r="199" customFormat="false" ht="15" hidden="false" customHeight="false" outlineLevel="0" collapsed="false">
      <c r="A199" s="15"/>
      <c r="B199" s="16"/>
      <c r="C199" s="15"/>
      <c r="D199" s="15"/>
      <c r="E199" s="15"/>
      <c r="F199" s="15"/>
      <c r="G199" s="15"/>
      <c r="H199" s="17" t="str">
        <f aca="false">IF(E199="","",IF(F199="","check type",IF(IFERROR(INDEX(Codes!$B$3:$B$14,MATCH(F199,Codes!$A$3:$A$14,0)),0)=E199,"OK","points/type mismatch")))</f>
        <v/>
      </c>
    </row>
    <row r="200" customFormat="false" ht="15" hidden="false" customHeight="false" outlineLevel="0" collapsed="false">
      <c r="A200" s="15"/>
      <c r="B200" s="16"/>
      <c r="C200" s="15"/>
      <c r="D200" s="15"/>
      <c r="E200" s="15"/>
      <c r="F200" s="15"/>
      <c r="G200" s="15"/>
      <c r="H200" s="17" t="str">
        <f aca="false">IF(E200="","",IF(F200="","check type",IF(IFERROR(INDEX(Codes!$B$3:$B$14,MATCH(F200,Codes!$A$3:$A$14,0)),0)=E200,"OK","points/type mismatch")))</f>
        <v/>
      </c>
    </row>
    <row r="201" customFormat="false" ht="15" hidden="false" customHeight="false" outlineLevel="0" collapsed="false">
      <c r="A201" s="15"/>
      <c r="B201" s="16"/>
      <c r="C201" s="15"/>
      <c r="D201" s="15"/>
      <c r="E201" s="15"/>
      <c r="F201" s="15"/>
      <c r="G201" s="15"/>
      <c r="H201" s="17" t="str">
        <f aca="false">IF(E201="","",IF(F201="","check type",IF(IFERROR(INDEX(Codes!$B$3:$B$14,MATCH(F201,Codes!$A$3:$A$14,0)),0)=E201,"OK","points/type mismatch")))</f>
        <v/>
      </c>
    </row>
    <row r="202" customFormat="false" ht="15" hidden="false" customHeight="false" outlineLevel="0" collapsed="false">
      <c r="A202" s="15"/>
      <c r="B202" s="16"/>
      <c r="C202" s="15"/>
      <c r="D202" s="15"/>
      <c r="E202" s="15"/>
      <c r="F202" s="15"/>
      <c r="G202" s="15"/>
      <c r="H202" s="17" t="str">
        <f aca="false">IF(E202="","",IF(F202="","check type",IF(IFERROR(INDEX(Codes!$B$3:$B$14,MATCH(F202,Codes!$A$3:$A$14,0)),0)=E202,"OK","points/type mismatch")))</f>
        <v/>
      </c>
    </row>
    <row r="203" customFormat="false" ht="15" hidden="false" customHeight="false" outlineLevel="0" collapsed="false">
      <c r="A203" s="15"/>
      <c r="B203" s="16"/>
      <c r="C203" s="15"/>
      <c r="D203" s="15"/>
      <c r="E203" s="15"/>
      <c r="F203" s="15"/>
      <c r="G203" s="15"/>
      <c r="H203" s="17" t="str">
        <f aca="false">IF(E203="","",IF(F203="","check type",IF(IFERROR(INDEX(Codes!$B$3:$B$14,MATCH(F203,Codes!$A$3:$A$14,0)),0)=E203,"OK","points/type mismatch")))</f>
        <v/>
      </c>
    </row>
    <row r="204" customFormat="false" ht="15" hidden="false" customHeight="false" outlineLevel="0" collapsed="false">
      <c r="A204" s="15"/>
      <c r="B204" s="16"/>
      <c r="C204" s="15"/>
      <c r="D204" s="15"/>
      <c r="E204" s="15"/>
      <c r="F204" s="15"/>
      <c r="G204" s="15"/>
      <c r="H204" s="17" t="str">
        <f aca="false">IF(E204="","",IF(F204="","check type",IF(IFERROR(INDEX(Codes!$B$3:$B$14,MATCH(F204,Codes!$A$3:$A$14,0)),0)=E204,"OK","points/type mismatch")))</f>
        <v/>
      </c>
    </row>
    <row r="205" customFormat="false" ht="15" hidden="false" customHeight="false" outlineLevel="0" collapsed="false">
      <c r="A205" s="15"/>
      <c r="B205" s="16"/>
      <c r="C205" s="15"/>
      <c r="D205" s="15"/>
      <c r="E205" s="15"/>
      <c r="F205" s="15"/>
      <c r="G205" s="15"/>
      <c r="H205" s="17" t="str">
        <f aca="false">IF(E205="","",IF(F205="","check type",IF(IFERROR(INDEX(Codes!$B$3:$B$14,MATCH(F205,Codes!$A$3:$A$14,0)),0)=E205,"OK","points/type mismatch")))</f>
        <v/>
      </c>
    </row>
    <row r="206" customFormat="false" ht="15" hidden="false" customHeight="false" outlineLevel="0" collapsed="false">
      <c r="A206" s="15"/>
      <c r="B206" s="16"/>
      <c r="C206" s="15"/>
      <c r="D206" s="15"/>
      <c r="E206" s="15"/>
      <c r="F206" s="15"/>
      <c r="G206" s="15"/>
      <c r="H206" s="17" t="str">
        <f aca="false">IF(E206="","",IF(F206="","check type",IF(IFERROR(INDEX(Codes!$B$3:$B$14,MATCH(F206,Codes!$A$3:$A$14,0)),0)=E206,"OK","points/type mismatch")))</f>
        <v/>
      </c>
    </row>
    <row r="207" customFormat="false" ht="15" hidden="false" customHeight="false" outlineLevel="0" collapsed="false">
      <c r="A207" s="15"/>
      <c r="B207" s="16"/>
      <c r="C207" s="15"/>
      <c r="D207" s="15"/>
      <c r="E207" s="15"/>
      <c r="F207" s="15"/>
      <c r="G207" s="15"/>
      <c r="H207" s="17" t="str">
        <f aca="false">IF(E207="","",IF(F207="","check type",IF(IFERROR(INDEX(Codes!$B$3:$B$14,MATCH(F207,Codes!$A$3:$A$14,0)),0)=E207,"OK","points/type mismatch")))</f>
        <v/>
      </c>
    </row>
    <row r="208" customFormat="false" ht="15" hidden="false" customHeight="false" outlineLevel="0" collapsed="false">
      <c r="A208" s="15"/>
      <c r="B208" s="16"/>
      <c r="C208" s="15"/>
      <c r="D208" s="15"/>
      <c r="E208" s="15"/>
      <c r="F208" s="15"/>
      <c r="G208" s="15"/>
      <c r="H208" s="17" t="str">
        <f aca="false">IF(E208="","",IF(F208="","check type",IF(IFERROR(INDEX(Codes!$B$3:$B$14,MATCH(F208,Codes!$A$3:$A$14,0)),0)=E208,"OK","points/type mismatch")))</f>
        <v/>
      </c>
    </row>
    <row r="209" customFormat="false" ht="15" hidden="false" customHeight="false" outlineLevel="0" collapsed="false">
      <c r="A209" s="15"/>
      <c r="B209" s="16"/>
      <c r="C209" s="15"/>
      <c r="D209" s="15"/>
      <c r="E209" s="15"/>
      <c r="F209" s="15"/>
      <c r="G209" s="15"/>
      <c r="H209" s="17" t="str">
        <f aca="false">IF(E209="","",IF(F209="","check type",IF(IFERROR(INDEX(Codes!$B$3:$B$14,MATCH(F209,Codes!$A$3:$A$14,0)),0)=E209,"OK","points/type mismatch")))</f>
        <v/>
      </c>
    </row>
    <row r="210" customFormat="false" ht="15" hidden="false" customHeight="false" outlineLevel="0" collapsed="false">
      <c r="A210" s="15"/>
      <c r="B210" s="16"/>
      <c r="C210" s="15"/>
      <c r="D210" s="15"/>
      <c r="E210" s="15"/>
      <c r="F210" s="15"/>
      <c r="G210" s="15"/>
      <c r="H210" s="17" t="str">
        <f aca="false">IF(E210="","",IF(F210="","check type",IF(IFERROR(INDEX(Codes!$B$3:$B$14,MATCH(F210,Codes!$A$3:$A$14,0)),0)=E210,"OK","points/type mismatch")))</f>
        <v/>
      </c>
    </row>
    <row r="211" customFormat="false" ht="15" hidden="false" customHeight="false" outlineLevel="0" collapsed="false">
      <c r="A211" s="15"/>
      <c r="B211" s="16"/>
      <c r="C211" s="15"/>
      <c r="D211" s="15"/>
      <c r="E211" s="15"/>
      <c r="F211" s="15"/>
      <c r="G211" s="15"/>
      <c r="H211" s="17" t="str">
        <f aca="false">IF(E211="","",IF(F211="","check type",IF(IFERROR(INDEX(Codes!$B$3:$B$14,MATCH(F211,Codes!$A$3:$A$14,0)),0)=E211,"OK","points/type mismatch")))</f>
        <v/>
      </c>
    </row>
    <row r="212" customFormat="false" ht="15" hidden="false" customHeight="false" outlineLevel="0" collapsed="false">
      <c r="A212" s="15"/>
      <c r="B212" s="16"/>
      <c r="C212" s="15"/>
      <c r="D212" s="15"/>
      <c r="E212" s="15"/>
      <c r="F212" s="15"/>
      <c r="G212" s="15"/>
      <c r="H212" s="17" t="str">
        <f aca="false">IF(E212="","",IF(F212="","check type",IF(IFERROR(INDEX(Codes!$B$3:$B$14,MATCH(F212,Codes!$A$3:$A$14,0)),0)=E212,"OK","points/type mismatch")))</f>
        <v/>
      </c>
    </row>
    <row r="213" customFormat="false" ht="15" hidden="false" customHeight="false" outlineLevel="0" collapsed="false">
      <c r="A213" s="15"/>
      <c r="B213" s="16"/>
      <c r="C213" s="15"/>
      <c r="D213" s="15"/>
      <c r="E213" s="15"/>
      <c r="F213" s="15"/>
      <c r="G213" s="15"/>
      <c r="H213" s="17" t="str">
        <f aca="false">IF(E213="","",IF(F213="","check type",IF(IFERROR(INDEX(Codes!$B$3:$B$14,MATCH(F213,Codes!$A$3:$A$14,0)),0)=E213,"OK","points/type mismatch")))</f>
        <v/>
      </c>
    </row>
    <row r="214" customFormat="false" ht="15" hidden="false" customHeight="false" outlineLevel="0" collapsed="false">
      <c r="A214" s="15"/>
      <c r="B214" s="16"/>
      <c r="C214" s="15"/>
      <c r="D214" s="15"/>
      <c r="E214" s="15"/>
      <c r="F214" s="15"/>
      <c r="G214" s="15"/>
      <c r="H214" s="17" t="str">
        <f aca="false">IF(E214="","",IF(F214="","check type",IF(IFERROR(INDEX(Codes!$B$3:$B$14,MATCH(F214,Codes!$A$3:$A$14,0)),0)=E214,"OK","points/type mismatch")))</f>
        <v/>
      </c>
    </row>
    <row r="215" customFormat="false" ht="15" hidden="false" customHeight="false" outlineLevel="0" collapsed="false">
      <c r="A215" s="15"/>
      <c r="B215" s="16"/>
      <c r="C215" s="15"/>
      <c r="D215" s="15"/>
      <c r="E215" s="15"/>
      <c r="F215" s="15"/>
      <c r="G215" s="15"/>
      <c r="H215" s="17" t="str">
        <f aca="false">IF(E215="","",IF(F215="","check type",IF(IFERROR(INDEX(Codes!$B$3:$B$14,MATCH(F215,Codes!$A$3:$A$14,0)),0)=E215,"OK","points/type mismatch")))</f>
        <v/>
      </c>
    </row>
    <row r="216" customFormat="false" ht="15" hidden="false" customHeight="false" outlineLevel="0" collapsed="false">
      <c r="A216" s="15"/>
      <c r="B216" s="16"/>
      <c r="C216" s="15"/>
      <c r="D216" s="15"/>
      <c r="E216" s="15"/>
      <c r="F216" s="15"/>
      <c r="G216" s="15"/>
      <c r="H216" s="17" t="str">
        <f aca="false">IF(E216="","",IF(F216="","check type",IF(IFERROR(INDEX(Codes!$B$3:$B$14,MATCH(F216,Codes!$A$3:$A$14,0)),0)=E216,"OK","points/type mismatch")))</f>
        <v/>
      </c>
    </row>
    <row r="217" customFormat="false" ht="15" hidden="false" customHeight="false" outlineLevel="0" collapsed="false">
      <c r="A217" s="15"/>
      <c r="B217" s="16"/>
      <c r="C217" s="15"/>
      <c r="D217" s="15"/>
      <c r="E217" s="15"/>
      <c r="F217" s="15"/>
      <c r="G217" s="15"/>
      <c r="H217" s="17" t="str">
        <f aca="false">IF(E217="","",IF(F217="","check type",IF(IFERROR(INDEX(Codes!$B$3:$B$14,MATCH(F217,Codes!$A$3:$A$14,0)),0)=E217,"OK","points/type mismatch")))</f>
        <v/>
      </c>
    </row>
    <row r="218" customFormat="false" ht="15" hidden="false" customHeight="false" outlineLevel="0" collapsed="false">
      <c r="A218" s="15"/>
      <c r="B218" s="16"/>
      <c r="C218" s="15"/>
      <c r="D218" s="15"/>
      <c r="E218" s="15"/>
      <c r="F218" s="15"/>
      <c r="G218" s="15"/>
      <c r="H218" s="17" t="str">
        <f aca="false">IF(E218="","",IF(F218="","check type",IF(IFERROR(INDEX(Codes!$B$3:$B$14,MATCH(F218,Codes!$A$3:$A$14,0)),0)=E218,"OK","points/type mismatch")))</f>
        <v/>
      </c>
    </row>
    <row r="219" customFormat="false" ht="15" hidden="false" customHeight="false" outlineLevel="0" collapsed="false">
      <c r="A219" s="15"/>
      <c r="B219" s="16"/>
      <c r="C219" s="15"/>
      <c r="D219" s="15"/>
      <c r="E219" s="15"/>
      <c r="F219" s="15"/>
      <c r="G219" s="15"/>
      <c r="H219" s="17" t="str">
        <f aca="false">IF(E219="","",IF(F219="","check type",IF(IFERROR(INDEX(Codes!$B$3:$B$14,MATCH(F219,Codes!$A$3:$A$14,0)),0)=E219,"OK","points/type mismatch")))</f>
        <v/>
      </c>
    </row>
    <row r="220" customFormat="false" ht="15" hidden="false" customHeight="false" outlineLevel="0" collapsed="false">
      <c r="A220" s="15"/>
      <c r="B220" s="16"/>
      <c r="C220" s="15"/>
      <c r="D220" s="15"/>
      <c r="E220" s="15"/>
      <c r="F220" s="15"/>
      <c r="G220" s="15"/>
      <c r="H220" s="17" t="str">
        <f aca="false">IF(E220="","",IF(F220="","check type",IF(IFERROR(INDEX(Codes!$B$3:$B$14,MATCH(F220,Codes!$A$3:$A$14,0)),0)=E220,"OK","points/type mismatch")))</f>
        <v/>
      </c>
    </row>
    <row r="221" customFormat="false" ht="15" hidden="false" customHeight="false" outlineLevel="0" collapsed="false">
      <c r="A221" s="15"/>
      <c r="B221" s="16"/>
      <c r="C221" s="15"/>
      <c r="D221" s="15"/>
      <c r="E221" s="15"/>
      <c r="F221" s="15"/>
      <c r="G221" s="15"/>
      <c r="H221" s="17" t="str">
        <f aca="false">IF(E221="","",IF(F221="","check type",IF(IFERROR(INDEX(Codes!$B$3:$B$14,MATCH(F221,Codes!$A$3:$A$14,0)),0)=E221,"OK","points/type mismatch")))</f>
        <v/>
      </c>
    </row>
    <row r="222" customFormat="false" ht="15" hidden="false" customHeight="false" outlineLevel="0" collapsed="false">
      <c r="A222" s="15"/>
      <c r="B222" s="16"/>
      <c r="C222" s="15"/>
      <c r="D222" s="15"/>
      <c r="E222" s="15"/>
      <c r="F222" s="15"/>
      <c r="G222" s="15"/>
      <c r="H222" s="17" t="str">
        <f aca="false">IF(E222="","",IF(F222="","check type",IF(IFERROR(INDEX(Codes!$B$3:$B$14,MATCH(F222,Codes!$A$3:$A$14,0)),0)=E222,"OK","points/type mismatch")))</f>
        <v/>
      </c>
    </row>
    <row r="223" customFormat="false" ht="15" hidden="false" customHeight="false" outlineLevel="0" collapsed="false">
      <c r="A223" s="15"/>
      <c r="B223" s="16"/>
      <c r="C223" s="15"/>
      <c r="D223" s="15"/>
      <c r="E223" s="15"/>
      <c r="F223" s="15"/>
      <c r="G223" s="15"/>
      <c r="H223" s="17" t="str">
        <f aca="false">IF(E223="","",IF(F223="","check type",IF(IFERROR(INDEX(Codes!$B$3:$B$14,MATCH(F223,Codes!$A$3:$A$14,0)),0)=E223,"OK","points/type mismatch")))</f>
        <v/>
      </c>
    </row>
    <row r="224" customFormat="false" ht="15" hidden="false" customHeight="false" outlineLevel="0" collapsed="false">
      <c r="A224" s="15"/>
      <c r="B224" s="16"/>
      <c r="C224" s="15"/>
      <c r="D224" s="15"/>
      <c r="E224" s="15"/>
      <c r="F224" s="15"/>
      <c r="G224" s="15"/>
      <c r="H224" s="17" t="str">
        <f aca="false">IF(E224="","",IF(F224="","check type",IF(IFERROR(INDEX(Codes!$B$3:$B$14,MATCH(F224,Codes!$A$3:$A$14,0)),0)=E224,"OK","points/type mismatch")))</f>
        <v/>
      </c>
    </row>
    <row r="225" customFormat="false" ht="15" hidden="false" customHeight="false" outlineLevel="0" collapsed="false">
      <c r="A225" s="15"/>
      <c r="B225" s="16"/>
      <c r="C225" s="15"/>
      <c r="D225" s="15"/>
      <c r="E225" s="15"/>
      <c r="F225" s="15"/>
      <c r="G225" s="15"/>
      <c r="H225" s="17" t="str">
        <f aca="false">IF(E225="","",IF(F225="","check type",IF(IFERROR(INDEX(Codes!$B$3:$B$14,MATCH(F225,Codes!$A$3:$A$14,0)),0)=E225,"OK","points/type mismatch")))</f>
        <v/>
      </c>
    </row>
    <row r="226" customFormat="false" ht="15" hidden="false" customHeight="false" outlineLevel="0" collapsed="false">
      <c r="A226" s="15"/>
      <c r="B226" s="16"/>
      <c r="C226" s="15"/>
      <c r="D226" s="15"/>
      <c r="E226" s="15"/>
      <c r="F226" s="15"/>
      <c r="G226" s="15"/>
      <c r="H226" s="17" t="str">
        <f aca="false">IF(E226="","",IF(F226="","check type",IF(IFERROR(INDEX(Codes!$B$3:$B$14,MATCH(F226,Codes!$A$3:$A$14,0)),0)=E226,"OK","points/type mismatch")))</f>
        <v/>
      </c>
    </row>
    <row r="227" customFormat="false" ht="15" hidden="false" customHeight="false" outlineLevel="0" collapsed="false">
      <c r="A227" s="15"/>
      <c r="B227" s="16"/>
      <c r="C227" s="15"/>
      <c r="D227" s="15"/>
      <c r="E227" s="15"/>
      <c r="F227" s="15"/>
      <c r="G227" s="15"/>
      <c r="H227" s="17" t="str">
        <f aca="false">IF(E227="","",IF(F227="","check type",IF(IFERROR(INDEX(Codes!$B$3:$B$14,MATCH(F227,Codes!$A$3:$A$14,0)),0)=E227,"OK","points/type mismatch")))</f>
        <v/>
      </c>
    </row>
    <row r="228" customFormat="false" ht="15" hidden="false" customHeight="false" outlineLevel="0" collapsed="false">
      <c r="A228" s="15"/>
      <c r="B228" s="16"/>
      <c r="C228" s="15"/>
      <c r="D228" s="15"/>
      <c r="E228" s="15"/>
      <c r="F228" s="15"/>
      <c r="G228" s="15"/>
      <c r="H228" s="17" t="str">
        <f aca="false">IF(E228="","",IF(F228="","check type",IF(IFERROR(INDEX(Codes!$B$3:$B$14,MATCH(F228,Codes!$A$3:$A$14,0)),0)=E228,"OK","points/type mismatch")))</f>
        <v/>
      </c>
    </row>
    <row r="229" customFormat="false" ht="15" hidden="false" customHeight="false" outlineLevel="0" collapsed="false">
      <c r="A229" s="15"/>
      <c r="B229" s="16"/>
      <c r="C229" s="15"/>
      <c r="D229" s="15"/>
      <c r="E229" s="15"/>
      <c r="F229" s="15"/>
      <c r="G229" s="15"/>
      <c r="H229" s="17" t="str">
        <f aca="false">IF(E229="","",IF(F229="","check type",IF(IFERROR(INDEX(Codes!$B$3:$B$14,MATCH(F229,Codes!$A$3:$A$14,0)),0)=E229,"OK","points/type mismatch")))</f>
        <v/>
      </c>
    </row>
    <row r="230" customFormat="false" ht="15" hidden="false" customHeight="false" outlineLevel="0" collapsed="false">
      <c r="A230" s="15"/>
      <c r="B230" s="16"/>
      <c r="C230" s="15"/>
      <c r="D230" s="15"/>
      <c r="E230" s="15"/>
      <c r="F230" s="15"/>
      <c r="G230" s="15"/>
      <c r="H230" s="17" t="str">
        <f aca="false">IF(E230="","",IF(F230="","check type",IF(IFERROR(INDEX(Codes!$B$3:$B$14,MATCH(F230,Codes!$A$3:$A$14,0)),0)=E230,"OK","points/type mismatch")))</f>
        <v/>
      </c>
    </row>
    <row r="231" customFormat="false" ht="15" hidden="false" customHeight="false" outlineLevel="0" collapsed="false">
      <c r="A231" s="15"/>
      <c r="B231" s="16"/>
      <c r="C231" s="15"/>
      <c r="D231" s="15"/>
      <c r="E231" s="15"/>
      <c r="F231" s="15"/>
      <c r="G231" s="15"/>
      <c r="H231" s="17" t="str">
        <f aca="false">IF(E231="","",IF(F231="","check type",IF(IFERROR(INDEX(Codes!$B$3:$B$14,MATCH(F231,Codes!$A$3:$A$14,0)),0)=E231,"OK","points/type mismatch")))</f>
        <v/>
      </c>
    </row>
    <row r="232" customFormat="false" ht="15" hidden="false" customHeight="false" outlineLevel="0" collapsed="false">
      <c r="A232" s="15"/>
      <c r="B232" s="16"/>
      <c r="C232" s="15"/>
      <c r="D232" s="15"/>
      <c r="E232" s="15"/>
      <c r="F232" s="15"/>
      <c r="G232" s="15"/>
      <c r="H232" s="17" t="str">
        <f aca="false">IF(E232="","",IF(F232="","check type",IF(IFERROR(INDEX(Codes!$B$3:$B$14,MATCH(F232,Codes!$A$3:$A$14,0)),0)=E232,"OK","points/type mismatch")))</f>
        <v/>
      </c>
    </row>
    <row r="233" customFormat="false" ht="15" hidden="false" customHeight="false" outlineLevel="0" collapsed="false">
      <c r="A233" s="15"/>
      <c r="B233" s="16"/>
      <c r="C233" s="15"/>
      <c r="D233" s="15"/>
      <c r="E233" s="15"/>
      <c r="F233" s="15"/>
      <c r="G233" s="15"/>
      <c r="H233" s="17" t="str">
        <f aca="false">IF(E233="","",IF(F233="","check type",IF(IFERROR(INDEX(Codes!$B$3:$B$14,MATCH(F233,Codes!$A$3:$A$14,0)),0)=E233,"OK","points/type mismatch")))</f>
        <v/>
      </c>
    </row>
    <row r="234" customFormat="false" ht="15" hidden="false" customHeight="false" outlineLevel="0" collapsed="false">
      <c r="A234" s="15"/>
      <c r="B234" s="16"/>
      <c r="C234" s="15"/>
      <c r="D234" s="15"/>
      <c r="E234" s="15"/>
      <c r="F234" s="15"/>
      <c r="G234" s="15"/>
      <c r="H234" s="17" t="str">
        <f aca="false">IF(E234="","",IF(F234="","check type",IF(IFERROR(INDEX(Codes!$B$3:$B$14,MATCH(F234,Codes!$A$3:$A$14,0)),0)=E234,"OK","points/type mismatch")))</f>
        <v/>
      </c>
    </row>
    <row r="235" customFormat="false" ht="15" hidden="false" customHeight="false" outlineLevel="0" collapsed="false">
      <c r="A235" s="15"/>
      <c r="B235" s="16"/>
      <c r="C235" s="15"/>
      <c r="D235" s="15"/>
      <c r="E235" s="15"/>
      <c r="F235" s="15"/>
      <c r="G235" s="15"/>
      <c r="H235" s="17" t="str">
        <f aca="false">IF(E235="","",IF(F235="","check type",IF(IFERROR(INDEX(Codes!$B$3:$B$14,MATCH(F235,Codes!$A$3:$A$14,0)),0)=E235,"OK","points/type mismatch")))</f>
        <v/>
      </c>
    </row>
    <row r="236" customFormat="false" ht="15" hidden="false" customHeight="false" outlineLevel="0" collapsed="false">
      <c r="A236" s="15"/>
      <c r="B236" s="16"/>
      <c r="C236" s="15"/>
      <c r="D236" s="15"/>
      <c r="E236" s="15"/>
      <c r="F236" s="15"/>
      <c r="G236" s="15"/>
      <c r="H236" s="17" t="str">
        <f aca="false">IF(E236="","",IF(F236="","check type",IF(IFERROR(INDEX(Codes!$B$3:$B$14,MATCH(F236,Codes!$A$3:$A$14,0)),0)=E236,"OK","points/type mismatch")))</f>
        <v/>
      </c>
    </row>
    <row r="237" customFormat="false" ht="15" hidden="false" customHeight="false" outlineLevel="0" collapsed="false">
      <c r="A237" s="15"/>
      <c r="B237" s="16"/>
      <c r="C237" s="15"/>
      <c r="D237" s="15"/>
      <c r="E237" s="15"/>
      <c r="F237" s="15"/>
      <c r="G237" s="15"/>
      <c r="H237" s="17" t="str">
        <f aca="false">IF(E237="","",IF(F237="","check type",IF(IFERROR(INDEX(Codes!$B$3:$B$14,MATCH(F237,Codes!$A$3:$A$14,0)),0)=E237,"OK","points/type mismatch")))</f>
        <v/>
      </c>
    </row>
    <row r="238" customFormat="false" ht="15" hidden="false" customHeight="false" outlineLevel="0" collapsed="false">
      <c r="A238" s="15"/>
      <c r="B238" s="16"/>
      <c r="C238" s="15"/>
      <c r="D238" s="15"/>
      <c r="E238" s="15"/>
      <c r="F238" s="15"/>
      <c r="G238" s="15"/>
      <c r="H238" s="17" t="str">
        <f aca="false">IF(E238="","",IF(F238="","check type",IF(IFERROR(INDEX(Codes!$B$3:$B$14,MATCH(F238,Codes!$A$3:$A$14,0)),0)=E238,"OK","points/type mismatch")))</f>
        <v/>
      </c>
    </row>
    <row r="239" customFormat="false" ht="15" hidden="false" customHeight="false" outlineLevel="0" collapsed="false">
      <c r="A239" s="15"/>
      <c r="B239" s="16"/>
      <c r="C239" s="15"/>
      <c r="D239" s="15"/>
      <c r="E239" s="15"/>
      <c r="F239" s="15"/>
      <c r="G239" s="15"/>
      <c r="H239" s="17" t="str">
        <f aca="false">IF(E239="","",IF(F239="","check type",IF(IFERROR(INDEX(Codes!$B$3:$B$14,MATCH(F239,Codes!$A$3:$A$14,0)),0)=E239,"OK","points/type mismatch")))</f>
        <v/>
      </c>
    </row>
    <row r="240" customFormat="false" ht="15" hidden="false" customHeight="false" outlineLevel="0" collapsed="false">
      <c r="A240" s="15"/>
      <c r="B240" s="16"/>
      <c r="C240" s="15"/>
      <c r="D240" s="15"/>
      <c r="E240" s="15"/>
      <c r="F240" s="15"/>
      <c r="G240" s="15"/>
      <c r="H240" s="17" t="str">
        <f aca="false">IF(E240="","",IF(F240="","check type",IF(IFERROR(INDEX(Codes!$B$3:$B$14,MATCH(F240,Codes!$A$3:$A$14,0)),0)=E240,"OK","points/type mismatch")))</f>
        <v/>
      </c>
    </row>
    <row r="241" customFormat="false" ht="15" hidden="false" customHeight="false" outlineLevel="0" collapsed="false">
      <c r="A241" s="15"/>
      <c r="B241" s="16"/>
      <c r="C241" s="15"/>
      <c r="D241" s="15"/>
      <c r="E241" s="15"/>
      <c r="F241" s="15"/>
      <c r="G241" s="15"/>
      <c r="H241" s="17" t="str">
        <f aca="false">IF(E241="","",IF(F241="","check type",IF(IFERROR(INDEX(Codes!$B$3:$B$14,MATCH(F241,Codes!$A$3:$A$14,0)),0)=E241,"OK","points/type mismatch")))</f>
        <v/>
      </c>
    </row>
    <row r="242" customFormat="false" ht="15" hidden="false" customHeight="false" outlineLevel="0" collapsed="false">
      <c r="A242" s="15"/>
      <c r="B242" s="16"/>
      <c r="C242" s="15"/>
      <c r="D242" s="15"/>
      <c r="E242" s="15"/>
      <c r="F242" s="15"/>
      <c r="G242" s="15"/>
      <c r="H242" s="17" t="str">
        <f aca="false">IF(E242="","",IF(F242="","check type",IF(IFERROR(INDEX(Codes!$B$3:$B$14,MATCH(F242,Codes!$A$3:$A$14,0)),0)=E242,"OK","points/type mismatch")))</f>
        <v/>
      </c>
    </row>
    <row r="243" customFormat="false" ht="15" hidden="false" customHeight="false" outlineLevel="0" collapsed="false">
      <c r="A243" s="15"/>
      <c r="B243" s="16"/>
      <c r="C243" s="15"/>
      <c r="D243" s="15"/>
      <c r="E243" s="15"/>
      <c r="F243" s="15"/>
      <c r="G243" s="15"/>
      <c r="H243" s="17" t="str">
        <f aca="false">IF(E243="","",IF(F243="","check type",IF(IFERROR(INDEX(Codes!$B$3:$B$14,MATCH(F243,Codes!$A$3:$A$14,0)),0)=E243,"OK","points/type mismatch")))</f>
        <v/>
      </c>
    </row>
    <row r="244" customFormat="false" ht="15" hidden="false" customHeight="false" outlineLevel="0" collapsed="false">
      <c r="A244" s="15"/>
      <c r="B244" s="16"/>
      <c r="C244" s="15"/>
      <c r="D244" s="15"/>
      <c r="E244" s="15"/>
      <c r="F244" s="15"/>
      <c r="G244" s="15"/>
      <c r="H244" s="17" t="str">
        <f aca="false">IF(E244="","",IF(F244="","check type",IF(IFERROR(INDEX(Codes!$B$3:$B$14,MATCH(F244,Codes!$A$3:$A$14,0)),0)=E244,"OK","points/type mismatch")))</f>
        <v/>
      </c>
    </row>
    <row r="245" customFormat="false" ht="15" hidden="false" customHeight="false" outlineLevel="0" collapsed="false">
      <c r="A245" s="15"/>
      <c r="B245" s="16"/>
      <c r="C245" s="15"/>
      <c r="D245" s="15"/>
      <c r="E245" s="15"/>
      <c r="F245" s="15"/>
      <c r="G245" s="15"/>
      <c r="H245" s="17" t="str">
        <f aca="false">IF(E245="","",IF(F245="","check type",IF(IFERROR(INDEX(Codes!$B$3:$B$14,MATCH(F245,Codes!$A$3:$A$14,0)),0)=E245,"OK","points/type mismatch")))</f>
        <v/>
      </c>
    </row>
    <row r="246" customFormat="false" ht="15" hidden="false" customHeight="false" outlineLevel="0" collapsed="false">
      <c r="A246" s="15"/>
      <c r="B246" s="16"/>
      <c r="C246" s="15"/>
      <c r="D246" s="15"/>
      <c r="E246" s="15"/>
      <c r="F246" s="15"/>
      <c r="G246" s="15"/>
      <c r="H246" s="17" t="str">
        <f aca="false">IF(E246="","",IF(F246="","check type",IF(IFERROR(INDEX(Codes!$B$3:$B$14,MATCH(F246,Codes!$A$3:$A$14,0)),0)=E246,"OK","points/type mismatch")))</f>
        <v/>
      </c>
    </row>
    <row r="247" customFormat="false" ht="15" hidden="false" customHeight="false" outlineLevel="0" collapsed="false">
      <c r="A247" s="15"/>
      <c r="B247" s="16"/>
      <c r="C247" s="15"/>
      <c r="D247" s="15"/>
      <c r="E247" s="15"/>
      <c r="F247" s="15"/>
      <c r="G247" s="15"/>
      <c r="H247" s="17" t="str">
        <f aca="false">IF(E247="","",IF(F247="","check type",IF(IFERROR(INDEX(Codes!$B$3:$B$14,MATCH(F247,Codes!$A$3:$A$14,0)),0)=E247,"OK","points/type mismatch")))</f>
        <v/>
      </c>
    </row>
    <row r="248" customFormat="false" ht="15" hidden="false" customHeight="false" outlineLevel="0" collapsed="false">
      <c r="A248" s="15"/>
      <c r="B248" s="16"/>
      <c r="C248" s="15"/>
      <c r="D248" s="15"/>
      <c r="E248" s="15"/>
      <c r="F248" s="15"/>
      <c r="G248" s="15"/>
      <c r="H248" s="17" t="str">
        <f aca="false">IF(E248="","",IF(F248="","check type",IF(IFERROR(INDEX(Codes!$B$3:$B$14,MATCH(F248,Codes!$A$3:$A$14,0)),0)=E248,"OK","points/type mismatch")))</f>
        <v/>
      </c>
    </row>
    <row r="249" customFormat="false" ht="15" hidden="false" customHeight="false" outlineLevel="0" collapsed="false">
      <c r="A249" s="15"/>
      <c r="B249" s="16"/>
      <c r="C249" s="15"/>
      <c r="D249" s="15"/>
      <c r="E249" s="15"/>
      <c r="F249" s="15"/>
      <c r="G249" s="15"/>
      <c r="H249" s="17" t="str">
        <f aca="false">IF(E249="","",IF(F249="","check type",IF(IFERROR(INDEX(Codes!$B$3:$B$14,MATCH(F249,Codes!$A$3:$A$14,0)),0)=E249,"OK","points/type mismatch")))</f>
        <v/>
      </c>
    </row>
    <row r="250" customFormat="false" ht="15" hidden="false" customHeight="false" outlineLevel="0" collapsed="false">
      <c r="A250" s="15"/>
      <c r="B250" s="16"/>
      <c r="C250" s="15"/>
      <c r="D250" s="15"/>
      <c r="E250" s="15"/>
      <c r="F250" s="15"/>
      <c r="G250" s="15"/>
      <c r="H250" s="17" t="str">
        <f aca="false">IF(E250="","",IF(F250="","check type",IF(IFERROR(INDEX(Codes!$B$3:$B$14,MATCH(F250,Codes!$A$3:$A$14,0)),0)=E250,"OK","points/type mismatch")))</f>
        <v/>
      </c>
    </row>
    <row r="251" customFormat="false" ht="15" hidden="false" customHeight="false" outlineLevel="0" collapsed="false">
      <c r="A251" s="15"/>
      <c r="B251" s="16"/>
      <c r="C251" s="15"/>
      <c r="D251" s="15"/>
      <c r="E251" s="15"/>
      <c r="F251" s="15"/>
      <c r="G251" s="15"/>
      <c r="H251" s="17" t="str">
        <f aca="false">IF(E251="","",IF(F251="","check type",IF(IFERROR(INDEX(Codes!$B$3:$B$14,MATCH(F251,Codes!$A$3:$A$14,0)),0)=E251,"OK","points/type mismatch")))</f>
        <v/>
      </c>
    </row>
    <row r="252" customFormat="false" ht="15" hidden="false" customHeight="false" outlineLevel="0" collapsed="false">
      <c r="A252" s="15"/>
      <c r="B252" s="16"/>
      <c r="C252" s="15"/>
      <c r="D252" s="15"/>
      <c r="E252" s="15"/>
      <c r="F252" s="15"/>
      <c r="G252" s="15"/>
      <c r="H252" s="17" t="str">
        <f aca="false">IF(E252="","",IF(F252="","check type",IF(IFERROR(INDEX(Codes!$B$3:$B$14,MATCH(F252,Codes!$A$3:$A$14,0)),0)=E252,"OK","points/type mismatch")))</f>
        <v/>
      </c>
    </row>
    <row r="253" customFormat="false" ht="15" hidden="false" customHeight="false" outlineLevel="0" collapsed="false">
      <c r="A253" s="15"/>
      <c r="B253" s="16"/>
      <c r="C253" s="15"/>
      <c r="D253" s="15"/>
      <c r="E253" s="15"/>
      <c r="F253" s="15"/>
      <c r="G253" s="15"/>
      <c r="H253" s="17" t="str">
        <f aca="false">IF(E253="","",IF(F253="","check type",IF(IFERROR(INDEX(Codes!$B$3:$B$14,MATCH(F253,Codes!$A$3:$A$14,0)),0)=E253,"OK","points/type mismatch")))</f>
        <v/>
      </c>
    </row>
    <row r="254" customFormat="false" ht="15" hidden="false" customHeight="false" outlineLevel="0" collapsed="false">
      <c r="A254" s="15"/>
      <c r="B254" s="16"/>
      <c r="C254" s="15"/>
      <c r="D254" s="15"/>
      <c r="E254" s="15"/>
      <c r="F254" s="15"/>
      <c r="G254" s="15"/>
      <c r="H254" s="17" t="str">
        <f aca="false">IF(E254="","",IF(F254="","check type",IF(IFERROR(INDEX(Codes!$B$3:$B$14,MATCH(F254,Codes!$A$3:$A$14,0)),0)=E254,"OK","points/type mismatch")))</f>
        <v/>
      </c>
    </row>
    <row r="255" customFormat="false" ht="15" hidden="false" customHeight="false" outlineLevel="0" collapsed="false">
      <c r="A255" s="15"/>
      <c r="B255" s="16"/>
      <c r="C255" s="15"/>
      <c r="D255" s="15"/>
      <c r="E255" s="15"/>
      <c r="F255" s="15"/>
      <c r="G255" s="15"/>
      <c r="H255" s="17" t="str">
        <f aca="false">IF(E255="","",IF(F255="","check type",IF(IFERROR(INDEX(Codes!$B$3:$B$14,MATCH(F255,Codes!$A$3:$A$14,0)),0)=E255,"OK","points/type mismatch")))</f>
        <v/>
      </c>
    </row>
    <row r="256" customFormat="false" ht="15" hidden="false" customHeight="false" outlineLevel="0" collapsed="false">
      <c r="A256" s="15"/>
      <c r="B256" s="16"/>
      <c r="C256" s="15"/>
      <c r="D256" s="15"/>
      <c r="E256" s="15"/>
      <c r="F256" s="15"/>
      <c r="G256" s="15"/>
      <c r="H256" s="17" t="str">
        <f aca="false">IF(E256="","",IF(F256="","check type",IF(IFERROR(INDEX(Codes!$B$3:$B$14,MATCH(F256,Codes!$A$3:$A$14,0)),0)=E256,"OK","points/type mismatch")))</f>
        <v/>
      </c>
    </row>
    <row r="257" customFormat="false" ht="15" hidden="false" customHeight="false" outlineLevel="0" collapsed="false">
      <c r="A257" s="15"/>
      <c r="B257" s="16"/>
      <c r="C257" s="15"/>
      <c r="D257" s="15"/>
      <c r="E257" s="15"/>
      <c r="F257" s="15"/>
      <c r="G257" s="15"/>
      <c r="H257" s="17" t="str">
        <f aca="false">IF(E257="","",IF(F257="","check type",IF(IFERROR(INDEX(Codes!$B$3:$B$14,MATCH(F257,Codes!$A$3:$A$14,0)),0)=E257,"OK","points/type mismatch")))</f>
        <v/>
      </c>
    </row>
    <row r="258" customFormat="false" ht="15" hidden="false" customHeight="false" outlineLevel="0" collapsed="false">
      <c r="A258" s="15"/>
      <c r="B258" s="16"/>
      <c r="C258" s="15"/>
      <c r="D258" s="15"/>
      <c r="E258" s="15"/>
      <c r="F258" s="15"/>
      <c r="G258" s="15"/>
      <c r="H258" s="17" t="str">
        <f aca="false">IF(E258="","",IF(F258="","check type",IF(IFERROR(INDEX(Codes!$B$3:$B$14,MATCH(F258,Codes!$A$3:$A$14,0)),0)=E258,"OK","points/type mismatch")))</f>
        <v/>
      </c>
    </row>
    <row r="259" customFormat="false" ht="15" hidden="false" customHeight="false" outlineLevel="0" collapsed="false">
      <c r="A259" s="15"/>
      <c r="B259" s="16"/>
      <c r="C259" s="15"/>
      <c r="D259" s="15"/>
      <c r="E259" s="15"/>
      <c r="F259" s="15"/>
      <c r="G259" s="15"/>
      <c r="H259" s="17" t="str">
        <f aca="false">IF(E259="","",IF(F259="","check type",IF(IFERROR(INDEX(Codes!$B$3:$B$14,MATCH(F259,Codes!$A$3:$A$14,0)),0)=E259,"OK","points/type mismatch")))</f>
        <v/>
      </c>
    </row>
    <row r="260" customFormat="false" ht="15" hidden="false" customHeight="false" outlineLevel="0" collapsed="false">
      <c r="A260" s="15"/>
      <c r="B260" s="16"/>
      <c r="C260" s="15"/>
      <c r="D260" s="15"/>
      <c r="E260" s="15"/>
      <c r="F260" s="15"/>
      <c r="G260" s="15"/>
      <c r="H260" s="17" t="str">
        <f aca="false">IF(E260="","",IF(F260="","check type",IF(IFERROR(INDEX(Codes!$B$3:$B$14,MATCH(F260,Codes!$A$3:$A$14,0)),0)=E260,"OK","points/type mismatch")))</f>
        <v/>
      </c>
    </row>
    <row r="261" customFormat="false" ht="15" hidden="false" customHeight="false" outlineLevel="0" collapsed="false">
      <c r="A261" s="15"/>
      <c r="B261" s="16"/>
      <c r="C261" s="15"/>
      <c r="D261" s="15"/>
      <c r="E261" s="15"/>
      <c r="F261" s="15"/>
      <c r="G261" s="15"/>
      <c r="H261" s="17" t="str">
        <f aca="false">IF(E261="","",IF(F261="","check type",IF(IFERROR(INDEX(Codes!$B$3:$B$14,MATCH(F261,Codes!$A$3:$A$14,0)),0)=E261,"OK","points/type mismatch")))</f>
        <v/>
      </c>
    </row>
    <row r="262" customFormat="false" ht="15" hidden="false" customHeight="false" outlineLevel="0" collapsed="false">
      <c r="A262" s="15"/>
      <c r="B262" s="16"/>
      <c r="C262" s="15"/>
      <c r="D262" s="15"/>
      <c r="E262" s="15"/>
      <c r="F262" s="15"/>
      <c r="G262" s="15"/>
      <c r="H262" s="17" t="str">
        <f aca="false">IF(E262="","",IF(F262="","check type",IF(IFERROR(INDEX(Codes!$B$3:$B$14,MATCH(F262,Codes!$A$3:$A$14,0)),0)=E262,"OK","points/type mismatch")))</f>
        <v/>
      </c>
    </row>
    <row r="263" customFormat="false" ht="15" hidden="false" customHeight="false" outlineLevel="0" collapsed="false">
      <c r="A263" s="15"/>
      <c r="B263" s="16"/>
      <c r="C263" s="15"/>
      <c r="D263" s="15"/>
      <c r="E263" s="15"/>
      <c r="F263" s="15"/>
      <c r="G263" s="15"/>
      <c r="H263" s="17" t="str">
        <f aca="false">IF(E263="","",IF(F263="","check type",IF(IFERROR(INDEX(Codes!$B$3:$B$14,MATCH(F263,Codes!$A$3:$A$14,0)),0)=E263,"OK","points/type mismatch")))</f>
        <v/>
      </c>
    </row>
    <row r="264" customFormat="false" ht="15" hidden="false" customHeight="false" outlineLevel="0" collapsed="false">
      <c r="A264" s="15"/>
      <c r="B264" s="16"/>
      <c r="C264" s="15"/>
      <c r="D264" s="15"/>
      <c r="E264" s="15"/>
      <c r="F264" s="15"/>
      <c r="G264" s="15"/>
      <c r="H264" s="17" t="str">
        <f aca="false">IF(E264="","",IF(F264="","check type",IF(IFERROR(INDEX(Codes!$B$3:$B$14,MATCH(F264,Codes!$A$3:$A$14,0)),0)=E264,"OK","points/type mismatch")))</f>
        <v/>
      </c>
    </row>
    <row r="265" customFormat="false" ht="15" hidden="false" customHeight="false" outlineLevel="0" collapsed="false">
      <c r="A265" s="15"/>
      <c r="B265" s="16"/>
      <c r="C265" s="15"/>
      <c r="D265" s="15"/>
      <c r="E265" s="15"/>
      <c r="F265" s="15"/>
      <c r="G265" s="15"/>
      <c r="H265" s="17" t="str">
        <f aca="false">IF(E265="","",IF(F265="","check type",IF(IFERROR(INDEX(Codes!$B$3:$B$14,MATCH(F265,Codes!$A$3:$A$14,0)),0)=E265,"OK","points/type mismatch")))</f>
        <v/>
      </c>
    </row>
    <row r="266" customFormat="false" ht="15" hidden="false" customHeight="false" outlineLevel="0" collapsed="false">
      <c r="A266" s="15"/>
      <c r="B266" s="16"/>
      <c r="C266" s="15"/>
      <c r="D266" s="15"/>
      <c r="E266" s="15"/>
      <c r="F266" s="15"/>
      <c r="G266" s="15"/>
      <c r="H266" s="17" t="str">
        <f aca="false">IF(E266="","",IF(F266="","check type",IF(IFERROR(INDEX(Codes!$B$3:$B$14,MATCH(F266,Codes!$A$3:$A$14,0)),0)=E266,"OK","points/type mismatch")))</f>
        <v/>
      </c>
    </row>
    <row r="267" customFormat="false" ht="15" hidden="false" customHeight="false" outlineLevel="0" collapsed="false">
      <c r="A267" s="15"/>
      <c r="B267" s="16"/>
      <c r="C267" s="15"/>
      <c r="D267" s="15"/>
      <c r="E267" s="15"/>
      <c r="F267" s="15"/>
      <c r="G267" s="15"/>
      <c r="H267" s="17" t="str">
        <f aca="false">IF(E267="","",IF(F267="","check type",IF(IFERROR(INDEX(Codes!$B$3:$B$14,MATCH(F267,Codes!$A$3:$A$14,0)),0)=E267,"OK","points/type mismatch")))</f>
        <v/>
      </c>
    </row>
    <row r="268" customFormat="false" ht="15" hidden="false" customHeight="false" outlineLevel="0" collapsed="false">
      <c r="A268" s="15"/>
      <c r="B268" s="16"/>
      <c r="C268" s="15"/>
      <c r="D268" s="15"/>
      <c r="E268" s="15"/>
      <c r="F268" s="15"/>
      <c r="G268" s="15"/>
      <c r="H268" s="17" t="str">
        <f aca="false">IF(E268="","",IF(F268="","check type",IF(IFERROR(INDEX(Codes!$B$3:$B$14,MATCH(F268,Codes!$A$3:$A$14,0)),0)=E268,"OK","points/type mismatch")))</f>
        <v/>
      </c>
    </row>
    <row r="269" customFormat="false" ht="15" hidden="false" customHeight="false" outlineLevel="0" collapsed="false">
      <c r="A269" s="15"/>
      <c r="B269" s="16"/>
      <c r="C269" s="15"/>
      <c r="D269" s="15"/>
      <c r="E269" s="15"/>
      <c r="F269" s="15"/>
      <c r="G269" s="15"/>
      <c r="H269" s="17" t="str">
        <f aca="false">IF(E269="","",IF(F269="","check type",IF(IFERROR(INDEX(Codes!$B$3:$B$14,MATCH(F269,Codes!$A$3:$A$14,0)),0)=E269,"OK","points/type mismatch")))</f>
        <v/>
      </c>
    </row>
    <row r="270" customFormat="false" ht="15" hidden="false" customHeight="false" outlineLevel="0" collapsed="false">
      <c r="A270" s="15"/>
      <c r="B270" s="16"/>
      <c r="C270" s="15"/>
      <c r="D270" s="15"/>
      <c r="E270" s="15"/>
      <c r="F270" s="15"/>
      <c r="G270" s="15"/>
      <c r="H270" s="17" t="str">
        <f aca="false">IF(E270="","",IF(F270="","check type",IF(IFERROR(INDEX(Codes!$B$3:$B$14,MATCH(F270,Codes!$A$3:$A$14,0)),0)=E270,"OK","points/type mismatch")))</f>
        <v/>
      </c>
    </row>
    <row r="271" customFormat="false" ht="15" hidden="false" customHeight="false" outlineLevel="0" collapsed="false">
      <c r="A271" s="15"/>
      <c r="B271" s="16"/>
      <c r="C271" s="15"/>
      <c r="D271" s="15"/>
      <c r="E271" s="15"/>
      <c r="F271" s="15"/>
      <c r="G271" s="15"/>
      <c r="H271" s="17" t="str">
        <f aca="false">IF(E271="","",IF(F271="","check type",IF(IFERROR(INDEX(Codes!$B$3:$B$14,MATCH(F271,Codes!$A$3:$A$14,0)),0)=E271,"OK","points/type mismatch")))</f>
        <v/>
      </c>
    </row>
    <row r="272" customFormat="false" ht="15" hidden="false" customHeight="false" outlineLevel="0" collapsed="false">
      <c r="A272" s="15"/>
      <c r="B272" s="16"/>
      <c r="C272" s="15"/>
      <c r="D272" s="15"/>
      <c r="E272" s="15"/>
      <c r="F272" s="15"/>
      <c r="G272" s="15"/>
      <c r="H272" s="17" t="str">
        <f aca="false">IF(E272="","",IF(F272="","check type",IF(IFERROR(INDEX(Codes!$B$3:$B$14,MATCH(F272,Codes!$A$3:$A$14,0)),0)=E272,"OK","points/type mismatch")))</f>
        <v/>
      </c>
    </row>
    <row r="273" customFormat="false" ht="15" hidden="false" customHeight="false" outlineLevel="0" collapsed="false">
      <c r="A273" s="15"/>
      <c r="B273" s="16"/>
      <c r="C273" s="15"/>
      <c r="D273" s="15"/>
      <c r="E273" s="15"/>
      <c r="F273" s="15"/>
      <c r="G273" s="15"/>
      <c r="H273" s="17" t="str">
        <f aca="false">IF(E273="","",IF(F273="","check type",IF(IFERROR(INDEX(Codes!$B$3:$B$14,MATCH(F273,Codes!$A$3:$A$14,0)),0)=E273,"OK","points/type mismatch")))</f>
        <v/>
      </c>
    </row>
    <row r="274" customFormat="false" ht="15" hidden="false" customHeight="false" outlineLevel="0" collapsed="false">
      <c r="A274" s="15"/>
      <c r="B274" s="16"/>
      <c r="C274" s="15"/>
      <c r="D274" s="15"/>
      <c r="E274" s="15"/>
      <c r="F274" s="15"/>
      <c r="G274" s="15"/>
      <c r="H274" s="17" t="str">
        <f aca="false">IF(E274="","",IF(F274="","check type",IF(IFERROR(INDEX(Codes!$B$3:$B$14,MATCH(F274,Codes!$A$3:$A$14,0)),0)=E274,"OK","points/type mismatch")))</f>
        <v/>
      </c>
    </row>
    <row r="275" customFormat="false" ht="15" hidden="false" customHeight="false" outlineLevel="0" collapsed="false">
      <c r="A275" s="15"/>
      <c r="B275" s="16"/>
      <c r="C275" s="15"/>
      <c r="D275" s="15"/>
      <c r="E275" s="15"/>
      <c r="F275" s="15"/>
      <c r="G275" s="15"/>
      <c r="H275" s="17" t="str">
        <f aca="false">IF(E275="","",IF(F275="","check type",IF(IFERROR(INDEX(Codes!$B$3:$B$14,MATCH(F275,Codes!$A$3:$A$14,0)),0)=E275,"OK","points/type mismatch")))</f>
        <v/>
      </c>
    </row>
    <row r="276" customFormat="false" ht="15" hidden="false" customHeight="false" outlineLevel="0" collapsed="false">
      <c r="A276" s="15"/>
      <c r="B276" s="16"/>
      <c r="C276" s="15"/>
      <c r="D276" s="15"/>
      <c r="E276" s="15"/>
      <c r="F276" s="15"/>
      <c r="G276" s="15"/>
      <c r="H276" s="17" t="str">
        <f aca="false">IF(E276="","",IF(F276="","check type",IF(IFERROR(INDEX(Codes!$B$3:$B$14,MATCH(F276,Codes!$A$3:$A$14,0)),0)=E276,"OK","points/type mismatch")))</f>
        <v/>
      </c>
    </row>
    <row r="277" customFormat="false" ht="15" hidden="false" customHeight="false" outlineLevel="0" collapsed="false">
      <c r="A277" s="15"/>
      <c r="B277" s="16"/>
      <c r="C277" s="15"/>
      <c r="D277" s="15"/>
      <c r="E277" s="15"/>
      <c r="F277" s="15"/>
      <c r="G277" s="15"/>
      <c r="H277" s="17" t="str">
        <f aca="false">IF(E277="","",IF(F277="","check type",IF(IFERROR(INDEX(Codes!$B$3:$B$14,MATCH(F277,Codes!$A$3:$A$14,0)),0)=E277,"OK","points/type mismatch")))</f>
        <v/>
      </c>
    </row>
    <row r="278" customFormat="false" ht="15" hidden="false" customHeight="false" outlineLevel="0" collapsed="false">
      <c r="A278" s="15"/>
      <c r="B278" s="16"/>
      <c r="C278" s="15"/>
      <c r="D278" s="15"/>
      <c r="E278" s="15"/>
      <c r="F278" s="15"/>
      <c r="G278" s="15"/>
      <c r="H278" s="17" t="str">
        <f aca="false">IF(E278="","",IF(F278="","check type",IF(IFERROR(INDEX(Codes!$B$3:$B$14,MATCH(F278,Codes!$A$3:$A$14,0)),0)=E278,"OK","points/type mismatch")))</f>
        <v/>
      </c>
    </row>
    <row r="279" customFormat="false" ht="15" hidden="false" customHeight="false" outlineLevel="0" collapsed="false">
      <c r="A279" s="15"/>
      <c r="B279" s="16"/>
      <c r="C279" s="15"/>
      <c r="D279" s="15"/>
      <c r="E279" s="15"/>
      <c r="F279" s="15"/>
      <c r="G279" s="15"/>
      <c r="H279" s="17" t="str">
        <f aca="false">IF(E279="","",IF(F279="","check type",IF(IFERROR(INDEX(Codes!$B$3:$B$14,MATCH(F279,Codes!$A$3:$A$14,0)),0)=E279,"OK","points/type mismatch")))</f>
        <v/>
      </c>
    </row>
    <row r="280" customFormat="false" ht="15" hidden="false" customHeight="false" outlineLevel="0" collapsed="false">
      <c r="A280" s="15"/>
      <c r="B280" s="16"/>
      <c r="C280" s="15"/>
      <c r="D280" s="15"/>
      <c r="E280" s="15"/>
      <c r="F280" s="15"/>
      <c r="G280" s="15"/>
      <c r="H280" s="17" t="str">
        <f aca="false">IF(E280="","",IF(F280="","check type",IF(IFERROR(INDEX(Codes!$B$3:$B$14,MATCH(F280,Codes!$A$3:$A$14,0)),0)=E280,"OK","points/type mismatch")))</f>
        <v/>
      </c>
    </row>
    <row r="281" customFormat="false" ht="15" hidden="false" customHeight="false" outlineLevel="0" collapsed="false">
      <c r="A281" s="15"/>
      <c r="B281" s="16"/>
      <c r="C281" s="15"/>
      <c r="D281" s="15"/>
      <c r="E281" s="15"/>
      <c r="F281" s="15"/>
      <c r="G281" s="15"/>
      <c r="H281" s="17" t="str">
        <f aca="false">IF(E281="","",IF(F281="","check type",IF(IFERROR(INDEX(Codes!$B$3:$B$14,MATCH(F281,Codes!$A$3:$A$14,0)),0)=E281,"OK","points/type mismatch")))</f>
        <v/>
      </c>
    </row>
    <row r="282" customFormat="false" ht="15" hidden="false" customHeight="false" outlineLevel="0" collapsed="false">
      <c r="A282" s="15"/>
      <c r="B282" s="16"/>
      <c r="C282" s="15"/>
      <c r="D282" s="15"/>
      <c r="E282" s="15"/>
      <c r="F282" s="15"/>
      <c r="G282" s="15"/>
      <c r="H282" s="17" t="str">
        <f aca="false">IF(E282="","",IF(F282="","check type",IF(IFERROR(INDEX(Codes!$B$3:$B$14,MATCH(F282,Codes!$A$3:$A$14,0)),0)=E282,"OK","points/type mismatch")))</f>
        <v/>
      </c>
    </row>
    <row r="283" customFormat="false" ht="15" hidden="false" customHeight="false" outlineLevel="0" collapsed="false">
      <c r="A283" s="15"/>
      <c r="B283" s="16"/>
      <c r="C283" s="15"/>
      <c r="D283" s="15"/>
      <c r="E283" s="15"/>
      <c r="F283" s="15"/>
      <c r="G283" s="15"/>
      <c r="H283" s="17" t="str">
        <f aca="false">IF(E283="","",IF(F283="","check type",IF(IFERROR(INDEX(Codes!$B$3:$B$14,MATCH(F283,Codes!$A$3:$A$14,0)),0)=E283,"OK","points/type mismatch")))</f>
        <v/>
      </c>
    </row>
    <row r="284" customFormat="false" ht="15" hidden="false" customHeight="false" outlineLevel="0" collapsed="false">
      <c r="A284" s="15"/>
      <c r="B284" s="16"/>
      <c r="C284" s="15"/>
      <c r="D284" s="15"/>
      <c r="E284" s="15"/>
      <c r="F284" s="15"/>
      <c r="G284" s="15"/>
      <c r="H284" s="17" t="str">
        <f aca="false">IF(E284="","",IF(F284="","check type",IF(IFERROR(INDEX(Codes!$B$3:$B$14,MATCH(F284,Codes!$A$3:$A$14,0)),0)=E284,"OK","points/type mismatch")))</f>
        <v/>
      </c>
    </row>
    <row r="285" customFormat="false" ht="15" hidden="false" customHeight="false" outlineLevel="0" collapsed="false">
      <c r="A285" s="15"/>
      <c r="B285" s="16"/>
      <c r="C285" s="15"/>
      <c r="D285" s="15"/>
      <c r="E285" s="15"/>
      <c r="F285" s="15"/>
      <c r="G285" s="15"/>
      <c r="H285" s="17" t="str">
        <f aca="false">IF(E285="","",IF(F285="","check type",IF(IFERROR(INDEX(Codes!$B$3:$B$14,MATCH(F285,Codes!$A$3:$A$14,0)),0)=E285,"OK","points/type mismatch")))</f>
        <v/>
      </c>
    </row>
    <row r="286" customFormat="false" ht="15" hidden="false" customHeight="false" outlineLevel="0" collapsed="false">
      <c r="A286" s="15"/>
      <c r="B286" s="16"/>
      <c r="C286" s="15"/>
      <c r="D286" s="15"/>
      <c r="E286" s="15"/>
      <c r="F286" s="15"/>
      <c r="G286" s="15"/>
      <c r="H286" s="17" t="str">
        <f aca="false">IF(E286="","",IF(F286="","check type",IF(IFERROR(INDEX(Codes!$B$3:$B$14,MATCH(F286,Codes!$A$3:$A$14,0)),0)=E286,"OK","points/type mismatch")))</f>
        <v/>
      </c>
    </row>
    <row r="287" customFormat="false" ht="15" hidden="false" customHeight="false" outlineLevel="0" collapsed="false">
      <c r="A287" s="15"/>
      <c r="B287" s="16"/>
      <c r="C287" s="15"/>
      <c r="D287" s="15"/>
      <c r="E287" s="15"/>
      <c r="F287" s="15"/>
      <c r="G287" s="15"/>
      <c r="H287" s="17" t="str">
        <f aca="false">IF(E287="","",IF(F287="","check type",IF(IFERROR(INDEX(Codes!$B$3:$B$14,MATCH(F287,Codes!$A$3:$A$14,0)),0)=E287,"OK","points/type mismatch")))</f>
        <v/>
      </c>
    </row>
    <row r="288" customFormat="false" ht="15" hidden="false" customHeight="false" outlineLevel="0" collapsed="false">
      <c r="A288" s="15"/>
      <c r="B288" s="16"/>
      <c r="C288" s="15"/>
      <c r="D288" s="15"/>
      <c r="E288" s="15"/>
      <c r="F288" s="15"/>
      <c r="G288" s="15"/>
      <c r="H288" s="17" t="str">
        <f aca="false">IF(E288="","",IF(F288="","check type",IF(IFERROR(INDEX(Codes!$B$3:$B$14,MATCH(F288,Codes!$A$3:$A$14,0)),0)=E288,"OK","points/type mismatch")))</f>
        <v/>
      </c>
    </row>
    <row r="289" customFormat="false" ht="15" hidden="false" customHeight="false" outlineLevel="0" collapsed="false">
      <c r="A289" s="15"/>
      <c r="B289" s="16"/>
      <c r="C289" s="15"/>
      <c r="D289" s="15"/>
      <c r="E289" s="15"/>
      <c r="F289" s="15"/>
      <c r="G289" s="15"/>
      <c r="H289" s="17" t="str">
        <f aca="false">IF(E289="","",IF(F289="","check type",IF(IFERROR(INDEX(Codes!$B$3:$B$14,MATCH(F289,Codes!$A$3:$A$14,0)),0)=E289,"OK","points/type mismatch")))</f>
        <v/>
      </c>
    </row>
    <row r="290" customFormat="false" ht="15" hidden="false" customHeight="false" outlineLevel="0" collapsed="false">
      <c r="A290" s="15"/>
      <c r="B290" s="16"/>
      <c r="C290" s="15"/>
      <c r="D290" s="15"/>
      <c r="E290" s="15"/>
      <c r="F290" s="15"/>
      <c r="G290" s="15"/>
      <c r="H290" s="17" t="str">
        <f aca="false">IF(E290="","",IF(F290="","check type",IF(IFERROR(INDEX(Codes!$B$3:$B$14,MATCH(F290,Codes!$A$3:$A$14,0)),0)=E290,"OK","points/type mismatch")))</f>
        <v/>
      </c>
    </row>
    <row r="291" customFormat="false" ht="15" hidden="false" customHeight="false" outlineLevel="0" collapsed="false">
      <c r="A291" s="15"/>
      <c r="B291" s="16"/>
      <c r="C291" s="15"/>
      <c r="D291" s="15"/>
      <c r="E291" s="15"/>
      <c r="F291" s="15"/>
      <c r="G291" s="15"/>
      <c r="H291" s="17" t="str">
        <f aca="false">IF(E291="","",IF(F291="","check type",IF(IFERROR(INDEX(Codes!$B$3:$B$14,MATCH(F291,Codes!$A$3:$A$14,0)),0)=E291,"OK","points/type mismatch")))</f>
        <v/>
      </c>
    </row>
    <row r="292" customFormat="false" ht="15" hidden="false" customHeight="false" outlineLevel="0" collapsed="false">
      <c r="A292" s="15"/>
      <c r="B292" s="16"/>
      <c r="C292" s="15"/>
      <c r="D292" s="15"/>
      <c r="E292" s="15"/>
      <c r="F292" s="15"/>
      <c r="G292" s="15"/>
      <c r="H292" s="17" t="str">
        <f aca="false">IF(E292="","",IF(F292="","check type",IF(IFERROR(INDEX(Codes!$B$3:$B$14,MATCH(F292,Codes!$A$3:$A$14,0)),0)=E292,"OK","points/type mismatch")))</f>
        <v/>
      </c>
    </row>
    <row r="293" customFormat="false" ht="15" hidden="false" customHeight="false" outlineLevel="0" collapsed="false">
      <c r="A293" s="15"/>
      <c r="B293" s="16"/>
      <c r="C293" s="15"/>
      <c r="D293" s="15"/>
      <c r="E293" s="15"/>
      <c r="F293" s="15"/>
      <c r="G293" s="15"/>
      <c r="H293" s="17" t="str">
        <f aca="false">IF(E293="","",IF(F293="","check type",IF(IFERROR(INDEX(Codes!$B$3:$B$14,MATCH(F293,Codes!$A$3:$A$14,0)),0)=E293,"OK","points/type mismatch")))</f>
        <v/>
      </c>
    </row>
    <row r="294" customFormat="false" ht="15" hidden="false" customHeight="false" outlineLevel="0" collapsed="false">
      <c r="A294" s="15"/>
      <c r="B294" s="16"/>
      <c r="C294" s="15"/>
      <c r="D294" s="15"/>
      <c r="E294" s="15"/>
      <c r="F294" s="15"/>
      <c r="G294" s="15"/>
      <c r="H294" s="17" t="str">
        <f aca="false">IF(E294="","",IF(F294="","check type",IF(IFERROR(INDEX(Codes!$B$3:$B$14,MATCH(F294,Codes!$A$3:$A$14,0)),0)=E294,"OK","points/type mismatch")))</f>
        <v/>
      </c>
    </row>
    <row r="295" customFormat="false" ht="15" hidden="false" customHeight="false" outlineLevel="0" collapsed="false">
      <c r="A295" s="15"/>
      <c r="B295" s="16"/>
      <c r="C295" s="15"/>
      <c r="D295" s="15"/>
      <c r="E295" s="15"/>
      <c r="F295" s="15"/>
      <c r="G295" s="15"/>
      <c r="H295" s="17" t="str">
        <f aca="false">IF(E295="","",IF(F295="","check type",IF(IFERROR(INDEX(Codes!$B$3:$B$14,MATCH(F295,Codes!$A$3:$A$14,0)),0)=E295,"OK","points/type mismatch")))</f>
        <v/>
      </c>
    </row>
    <row r="296" customFormat="false" ht="15" hidden="false" customHeight="false" outlineLevel="0" collapsed="false">
      <c r="A296" s="15"/>
      <c r="B296" s="16"/>
      <c r="C296" s="15"/>
      <c r="D296" s="15"/>
      <c r="E296" s="15"/>
      <c r="F296" s="15"/>
      <c r="G296" s="15"/>
      <c r="H296" s="17" t="str">
        <f aca="false">IF(E296="","",IF(F296="","check type",IF(IFERROR(INDEX(Codes!$B$3:$B$14,MATCH(F296,Codes!$A$3:$A$14,0)),0)=E296,"OK","points/type mismatch")))</f>
        <v/>
      </c>
    </row>
    <row r="297" customFormat="false" ht="15" hidden="false" customHeight="false" outlineLevel="0" collapsed="false">
      <c r="A297" s="15"/>
      <c r="B297" s="16"/>
      <c r="C297" s="15"/>
      <c r="D297" s="15"/>
      <c r="E297" s="15"/>
      <c r="F297" s="15"/>
      <c r="G297" s="15"/>
      <c r="H297" s="17" t="str">
        <f aca="false">IF(E297="","",IF(F297="","check type",IF(IFERROR(INDEX(Codes!$B$3:$B$14,MATCH(F297,Codes!$A$3:$A$14,0)),0)=E297,"OK","points/type mismatch")))</f>
        <v/>
      </c>
    </row>
    <row r="298" customFormat="false" ht="15" hidden="false" customHeight="false" outlineLevel="0" collapsed="false">
      <c r="A298" s="15"/>
      <c r="B298" s="16"/>
      <c r="C298" s="15"/>
      <c r="D298" s="15"/>
      <c r="E298" s="15"/>
      <c r="F298" s="15"/>
      <c r="G298" s="15"/>
      <c r="H298" s="17" t="str">
        <f aca="false">IF(E298="","",IF(F298="","check type",IF(IFERROR(INDEX(Codes!$B$3:$B$14,MATCH(F298,Codes!$A$3:$A$14,0)),0)=E298,"OK","points/type mismatch")))</f>
        <v/>
      </c>
    </row>
    <row r="299" customFormat="false" ht="15" hidden="false" customHeight="false" outlineLevel="0" collapsed="false">
      <c r="A299" s="15"/>
      <c r="B299" s="16"/>
      <c r="C299" s="15"/>
      <c r="D299" s="15"/>
      <c r="E299" s="15"/>
      <c r="F299" s="15"/>
      <c r="G299" s="15"/>
      <c r="H299" s="17" t="str">
        <f aca="false">IF(E299="","",IF(F299="","check type",IF(IFERROR(INDEX(Codes!$B$3:$B$14,MATCH(F299,Codes!$A$3:$A$14,0)),0)=E299,"OK","points/type mismatch")))</f>
        <v/>
      </c>
    </row>
    <row r="300" customFormat="false" ht="15" hidden="false" customHeight="false" outlineLevel="0" collapsed="false">
      <c r="A300" s="15"/>
      <c r="B300" s="16"/>
      <c r="C300" s="15"/>
      <c r="D300" s="15"/>
      <c r="E300" s="15"/>
      <c r="F300" s="15"/>
      <c r="G300" s="15"/>
      <c r="H300" s="17" t="str">
        <f aca="false">IF(E300="","",IF(F300="","check type",IF(IFERROR(INDEX(Codes!$B$3:$B$14,MATCH(F300,Codes!$A$3:$A$14,0)),0)=E300,"OK","points/type mismatch")))</f>
        <v/>
      </c>
    </row>
    <row r="301" customFormat="false" ht="15" hidden="false" customHeight="false" outlineLevel="0" collapsed="false">
      <c r="A301" s="15"/>
      <c r="B301" s="16"/>
      <c r="C301" s="15"/>
      <c r="D301" s="15"/>
      <c r="E301" s="15"/>
      <c r="F301" s="15"/>
      <c r="G301" s="15"/>
      <c r="H301" s="17" t="str">
        <f aca="false">IF(E301="","",IF(F301="","check type",IF(IFERROR(INDEX(Codes!$B$3:$B$14,MATCH(F301,Codes!$A$3:$A$14,0)),0)=E301,"OK","points/type mismatch")))</f>
        <v/>
      </c>
    </row>
    <row r="302" customFormat="false" ht="15" hidden="false" customHeight="false" outlineLevel="0" collapsed="false">
      <c r="A302" s="15"/>
      <c r="B302" s="16"/>
      <c r="C302" s="15"/>
      <c r="D302" s="15"/>
      <c r="E302" s="15"/>
      <c r="F302" s="15"/>
      <c r="G302" s="15"/>
      <c r="H302" s="17" t="str">
        <f aca="false">IF(E302="","",IF(F302="","check type",IF(IFERROR(INDEX(Codes!$B$3:$B$14,MATCH(F302,Codes!$A$3:$A$14,0)),0)=E302,"OK","points/type mismatch")))</f>
        <v/>
      </c>
    </row>
    <row r="303" customFormat="false" ht="15" hidden="false" customHeight="false" outlineLevel="0" collapsed="false">
      <c r="A303" s="15"/>
      <c r="B303" s="16"/>
      <c r="C303" s="15"/>
      <c r="D303" s="15"/>
      <c r="E303" s="15"/>
      <c r="F303" s="15"/>
      <c r="G303" s="15"/>
      <c r="H303" s="17" t="str">
        <f aca="false">IF(E303="","",IF(F303="","check type",IF(IFERROR(INDEX(Codes!$B$3:$B$14,MATCH(F303,Codes!$A$3:$A$14,0)),0)=E303,"OK","points/type mismatch")))</f>
        <v/>
      </c>
    </row>
    <row r="304" customFormat="false" ht="15" hidden="false" customHeight="false" outlineLevel="0" collapsed="false">
      <c r="A304" s="15"/>
      <c r="B304" s="16"/>
      <c r="C304" s="15"/>
      <c r="D304" s="15"/>
      <c r="E304" s="15"/>
      <c r="F304" s="15"/>
      <c r="G304" s="15"/>
      <c r="H304" s="17" t="str">
        <f aca="false">IF(E304="","",IF(F304="","check type",IF(IFERROR(INDEX(Codes!$B$3:$B$14,MATCH(F304,Codes!$A$3:$A$14,0)),0)=E304,"OK","points/type mismatch")))</f>
        <v/>
      </c>
    </row>
    <row r="305" customFormat="false" ht="15" hidden="false" customHeight="false" outlineLevel="0" collapsed="false">
      <c r="A305" s="15"/>
      <c r="B305" s="16"/>
      <c r="C305" s="15"/>
      <c r="D305" s="15"/>
      <c r="E305" s="15"/>
      <c r="F305" s="15"/>
      <c r="G305" s="15"/>
      <c r="H305" s="17" t="str">
        <f aca="false">IF(E305="","",IF(F305="","check type",IF(IFERROR(INDEX(Codes!$B$3:$B$14,MATCH(F305,Codes!$A$3:$A$14,0)),0)=E305,"OK","points/type mismatch")))</f>
        <v/>
      </c>
    </row>
    <row r="306" customFormat="false" ht="15" hidden="false" customHeight="false" outlineLevel="0" collapsed="false">
      <c r="A306" s="15"/>
      <c r="B306" s="16"/>
      <c r="C306" s="15"/>
      <c r="D306" s="15"/>
      <c r="E306" s="15"/>
      <c r="F306" s="15"/>
      <c r="G306" s="15"/>
      <c r="H306" s="17" t="str">
        <f aca="false">IF(E306="","",IF(F306="","check type",IF(IFERROR(INDEX(Codes!$B$3:$B$14,MATCH(F306,Codes!$A$3:$A$14,0)),0)=E306,"OK","points/type mismatch")))</f>
        <v/>
      </c>
    </row>
    <row r="307" customFormat="false" ht="15" hidden="false" customHeight="false" outlineLevel="0" collapsed="false">
      <c r="A307" s="15"/>
      <c r="B307" s="16"/>
      <c r="C307" s="15"/>
      <c r="D307" s="15"/>
      <c r="E307" s="15"/>
      <c r="F307" s="15"/>
      <c r="G307" s="15"/>
      <c r="H307" s="17" t="str">
        <f aca="false">IF(E307="","",IF(F307="","check type",IF(IFERROR(INDEX(Codes!$B$3:$B$14,MATCH(F307,Codes!$A$3:$A$14,0)),0)=E307,"OK","points/type mismatch")))</f>
        <v/>
      </c>
    </row>
    <row r="308" customFormat="false" ht="15" hidden="false" customHeight="false" outlineLevel="0" collapsed="false">
      <c r="A308" s="15"/>
      <c r="B308" s="16"/>
      <c r="C308" s="15"/>
      <c r="D308" s="15"/>
      <c r="E308" s="15"/>
      <c r="F308" s="15"/>
      <c r="G308" s="15"/>
      <c r="H308" s="17" t="str">
        <f aca="false">IF(E308="","",IF(F308="","check type",IF(IFERROR(INDEX(Codes!$B$3:$B$14,MATCH(F308,Codes!$A$3:$A$14,0)),0)=E308,"OK","points/type mismatch")))</f>
        <v/>
      </c>
    </row>
    <row r="309" customFormat="false" ht="15" hidden="false" customHeight="false" outlineLevel="0" collapsed="false">
      <c r="A309" s="15"/>
      <c r="B309" s="16"/>
      <c r="C309" s="15"/>
      <c r="D309" s="15"/>
      <c r="E309" s="15"/>
      <c r="F309" s="15"/>
      <c r="G309" s="15"/>
      <c r="H309" s="17" t="str">
        <f aca="false">IF(E309="","",IF(F309="","check type",IF(IFERROR(INDEX(Codes!$B$3:$B$14,MATCH(F309,Codes!$A$3:$A$14,0)),0)=E309,"OK","points/type mismatch")))</f>
        <v/>
      </c>
    </row>
    <row r="310" customFormat="false" ht="15" hidden="false" customHeight="false" outlineLevel="0" collapsed="false">
      <c r="A310" s="15"/>
      <c r="B310" s="16"/>
      <c r="C310" s="15"/>
      <c r="D310" s="15"/>
      <c r="E310" s="15"/>
      <c r="F310" s="15"/>
      <c r="G310" s="15"/>
      <c r="H310" s="17" t="str">
        <f aca="false">IF(E310="","",IF(F310="","check type",IF(IFERROR(INDEX(Codes!$B$3:$B$14,MATCH(F310,Codes!$A$3:$A$14,0)),0)=E310,"OK","points/type mismatch")))</f>
        <v/>
      </c>
    </row>
    <row r="311" customFormat="false" ht="15" hidden="false" customHeight="false" outlineLevel="0" collapsed="false">
      <c r="A311" s="15"/>
      <c r="B311" s="16"/>
      <c r="C311" s="15"/>
      <c r="D311" s="15"/>
      <c r="E311" s="15"/>
      <c r="F311" s="15"/>
      <c r="G311" s="15"/>
      <c r="H311" s="17" t="str">
        <f aca="false">IF(E311="","",IF(F311="","check type",IF(IFERROR(INDEX(Codes!$B$3:$B$14,MATCH(F311,Codes!$A$3:$A$14,0)),0)=E311,"OK","points/type mismatch")))</f>
        <v/>
      </c>
    </row>
    <row r="312" customFormat="false" ht="15" hidden="false" customHeight="false" outlineLevel="0" collapsed="false">
      <c r="A312" s="15"/>
      <c r="B312" s="16"/>
      <c r="C312" s="15"/>
      <c r="D312" s="15"/>
      <c r="E312" s="15"/>
      <c r="F312" s="15"/>
      <c r="G312" s="15"/>
      <c r="H312" s="17" t="str">
        <f aca="false">IF(E312="","",IF(F312="","check type",IF(IFERROR(INDEX(Codes!$B$3:$B$14,MATCH(F312,Codes!$A$3:$A$14,0)),0)=E312,"OK","points/type mismatch")))</f>
        <v/>
      </c>
    </row>
    <row r="313" customFormat="false" ht="15" hidden="false" customHeight="false" outlineLevel="0" collapsed="false">
      <c r="A313" s="15"/>
      <c r="B313" s="16"/>
      <c r="C313" s="15"/>
      <c r="D313" s="15"/>
      <c r="E313" s="15"/>
      <c r="F313" s="15"/>
      <c r="G313" s="15"/>
      <c r="H313" s="17" t="str">
        <f aca="false">IF(E313="","",IF(F313="","check type",IF(IFERROR(INDEX(Codes!$B$3:$B$14,MATCH(F313,Codes!$A$3:$A$14,0)),0)=E313,"OK","points/type mismatch")))</f>
        <v/>
      </c>
    </row>
    <row r="314" customFormat="false" ht="15" hidden="false" customHeight="false" outlineLevel="0" collapsed="false">
      <c r="A314" s="15"/>
      <c r="B314" s="16"/>
      <c r="C314" s="15"/>
      <c r="D314" s="15"/>
      <c r="E314" s="15"/>
      <c r="F314" s="15"/>
      <c r="G314" s="15"/>
      <c r="H314" s="17" t="str">
        <f aca="false">IF(E314="","",IF(F314="","check type",IF(IFERROR(INDEX(Codes!$B$3:$B$14,MATCH(F314,Codes!$A$3:$A$14,0)),0)=E314,"OK","points/type mismatch")))</f>
        <v/>
      </c>
    </row>
    <row r="315" customFormat="false" ht="15" hidden="false" customHeight="false" outlineLevel="0" collapsed="false">
      <c r="A315" s="15"/>
      <c r="B315" s="16"/>
      <c r="C315" s="15"/>
      <c r="D315" s="15"/>
      <c r="E315" s="15"/>
      <c r="F315" s="15"/>
      <c r="G315" s="15"/>
      <c r="H315" s="17" t="str">
        <f aca="false">IF(E315="","",IF(F315="","check type",IF(IFERROR(INDEX(Codes!$B$3:$B$14,MATCH(F315,Codes!$A$3:$A$14,0)),0)=E315,"OK","points/type mismatch")))</f>
        <v/>
      </c>
    </row>
    <row r="316" customFormat="false" ht="15" hidden="false" customHeight="false" outlineLevel="0" collapsed="false">
      <c r="A316" s="15"/>
      <c r="B316" s="16"/>
      <c r="C316" s="15"/>
      <c r="D316" s="15"/>
      <c r="E316" s="15"/>
      <c r="F316" s="15"/>
      <c r="G316" s="15"/>
      <c r="H316" s="17" t="str">
        <f aca="false">IF(E316="","",IF(F316="","check type",IF(IFERROR(INDEX(Codes!$B$3:$B$14,MATCH(F316,Codes!$A$3:$A$14,0)),0)=E316,"OK","points/type mismatch")))</f>
        <v/>
      </c>
    </row>
    <row r="317" customFormat="false" ht="15" hidden="false" customHeight="false" outlineLevel="0" collapsed="false">
      <c r="A317" s="15"/>
      <c r="B317" s="16"/>
      <c r="C317" s="15"/>
      <c r="D317" s="15"/>
      <c r="E317" s="15"/>
      <c r="F317" s="15"/>
      <c r="G317" s="15"/>
      <c r="H317" s="17" t="str">
        <f aca="false">IF(E317="","",IF(F317="","check type",IF(IFERROR(INDEX(Codes!$B$3:$B$14,MATCH(F317,Codes!$A$3:$A$14,0)),0)=E317,"OK","points/type mismatch")))</f>
        <v/>
      </c>
    </row>
    <row r="318" customFormat="false" ht="15" hidden="false" customHeight="false" outlineLevel="0" collapsed="false">
      <c r="A318" s="15"/>
      <c r="B318" s="16"/>
      <c r="C318" s="15"/>
      <c r="D318" s="15"/>
      <c r="E318" s="15"/>
      <c r="F318" s="15"/>
      <c r="G318" s="15"/>
      <c r="H318" s="17" t="str">
        <f aca="false">IF(E318="","",IF(F318="","check type",IF(IFERROR(INDEX(Codes!$B$3:$B$14,MATCH(F318,Codes!$A$3:$A$14,0)),0)=E318,"OK","points/type mismatch")))</f>
        <v/>
      </c>
    </row>
    <row r="319" customFormat="false" ht="15" hidden="false" customHeight="false" outlineLevel="0" collapsed="false">
      <c r="A319" s="15"/>
      <c r="B319" s="16"/>
      <c r="C319" s="15"/>
      <c r="D319" s="15"/>
      <c r="E319" s="15"/>
      <c r="F319" s="15"/>
      <c r="G319" s="15"/>
      <c r="H319" s="17" t="str">
        <f aca="false">IF(E319="","",IF(F319="","check type",IF(IFERROR(INDEX(Codes!$B$3:$B$14,MATCH(F319,Codes!$A$3:$A$14,0)),0)=E319,"OK","points/type mismatch")))</f>
        <v/>
      </c>
    </row>
    <row r="320" customFormat="false" ht="15" hidden="false" customHeight="false" outlineLevel="0" collapsed="false">
      <c r="A320" s="15"/>
      <c r="B320" s="16"/>
      <c r="C320" s="15"/>
      <c r="D320" s="15"/>
      <c r="E320" s="15"/>
      <c r="F320" s="15"/>
      <c r="G320" s="15"/>
      <c r="H320" s="17" t="str">
        <f aca="false">IF(E320="","",IF(F320="","check type",IF(IFERROR(INDEX(Codes!$B$3:$B$14,MATCH(F320,Codes!$A$3:$A$14,0)),0)=E320,"OK","points/type mismatch")))</f>
        <v/>
      </c>
    </row>
    <row r="321" customFormat="false" ht="15" hidden="false" customHeight="false" outlineLevel="0" collapsed="false">
      <c r="A321" s="15"/>
      <c r="B321" s="16"/>
      <c r="C321" s="15"/>
      <c r="D321" s="15"/>
      <c r="E321" s="15"/>
      <c r="F321" s="15"/>
      <c r="G321" s="15"/>
      <c r="H321" s="17" t="str">
        <f aca="false">IF(E321="","",IF(F321="","check type",IF(IFERROR(INDEX(Codes!$B$3:$B$14,MATCH(F321,Codes!$A$3:$A$14,0)),0)=E321,"OK","points/type mismatch")))</f>
        <v/>
      </c>
    </row>
    <row r="322" customFormat="false" ht="15" hidden="false" customHeight="false" outlineLevel="0" collapsed="false">
      <c r="A322" s="15"/>
      <c r="B322" s="16"/>
      <c r="C322" s="15"/>
      <c r="D322" s="15"/>
      <c r="E322" s="15"/>
      <c r="F322" s="15"/>
      <c r="G322" s="15"/>
      <c r="H322" s="17" t="str">
        <f aca="false">IF(E322="","",IF(F322="","check type",IF(IFERROR(INDEX(Codes!$B$3:$B$14,MATCH(F322,Codes!$A$3:$A$14,0)),0)=E322,"OK","points/type mismatch")))</f>
        <v/>
      </c>
    </row>
    <row r="323" customFormat="false" ht="15" hidden="false" customHeight="false" outlineLevel="0" collapsed="false">
      <c r="A323" s="15"/>
      <c r="B323" s="16"/>
      <c r="C323" s="15"/>
      <c r="D323" s="15"/>
      <c r="E323" s="15"/>
      <c r="F323" s="15"/>
      <c r="G323" s="15"/>
      <c r="H323" s="17" t="str">
        <f aca="false">IF(E323="","",IF(F323="","check type",IF(IFERROR(INDEX(Codes!$B$3:$B$14,MATCH(F323,Codes!$A$3:$A$14,0)),0)=E323,"OK","points/type mismatch")))</f>
        <v/>
      </c>
    </row>
    <row r="324" customFormat="false" ht="15" hidden="false" customHeight="false" outlineLevel="0" collapsed="false">
      <c r="A324" s="15"/>
      <c r="B324" s="16"/>
      <c r="C324" s="15"/>
      <c r="D324" s="15"/>
      <c r="E324" s="15"/>
      <c r="F324" s="15"/>
      <c r="G324" s="15"/>
      <c r="H324" s="17" t="str">
        <f aca="false">IF(E324="","",IF(F324="","check type",IF(IFERROR(INDEX(Codes!$B$3:$B$14,MATCH(F324,Codes!$A$3:$A$14,0)),0)=E324,"OK","points/type mismatch")))</f>
        <v/>
      </c>
    </row>
    <row r="325" customFormat="false" ht="15" hidden="false" customHeight="false" outlineLevel="0" collapsed="false">
      <c r="A325" s="15"/>
      <c r="B325" s="16"/>
      <c r="C325" s="15"/>
      <c r="D325" s="15"/>
      <c r="E325" s="15"/>
      <c r="F325" s="15"/>
      <c r="G325" s="15"/>
      <c r="H325" s="17" t="str">
        <f aca="false">IF(E325="","",IF(F325="","check type",IF(IFERROR(INDEX(Codes!$B$3:$B$14,MATCH(F325,Codes!$A$3:$A$14,0)),0)=E325,"OK","points/type mismatch")))</f>
        <v/>
      </c>
    </row>
    <row r="326" customFormat="false" ht="15" hidden="false" customHeight="false" outlineLevel="0" collapsed="false">
      <c r="A326" s="15"/>
      <c r="B326" s="16"/>
      <c r="C326" s="15"/>
      <c r="D326" s="15"/>
      <c r="E326" s="15"/>
      <c r="F326" s="15"/>
      <c r="G326" s="15"/>
      <c r="H326" s="17" t="str">
        <f aca="false">IF(E326="","",IF(F326="","check type",IF(IFERROR(INDEX(Codes!$B$3:$B$14,MATCH(F326,Codes!$A$3:$A$14,0)),0)=E326,"OK","points/type mismatch")))</f>
        <v/>
      </c>
    </row>
    <row r="327" customFormat="false" ht="15" hidden="false" customHeight="false" outlineLevel="0" collapsed="false">
      <c r="A327" s="15"/>
      <c r="B327" s="16"/>
      <c r="C327" s="15"/>
      <c r="D327" s="15"/>
      <c r="E327" s="15"/>
      <c r="F327" s="15"/>
      <c r="G327" s="15"/>
      <c r="H327" s="17" t="str">
        <f aca="false">IF(E327="","",IF(F327="","check type",IF(IFERROR(INDEX(Codes!$B$3:$B$14,MATCH(F327,Codes!$A$3:$A$14,0)),0)=E327,"OK","points/type mismatch")))</f>
        <v/>
      </c>
    </row>
    <row r="328" customFormat="false" ht="15" hidden="false" customHeight="false" outlineLevel="0" collapsed="false">
      <c r="A328" s="15"/>
      <c r="B328" s="16"/>
      <c r="C328" s="15"/>
      <c r="D328" s="15"/>
      <c r="E328" s="15"/>
      <c r="F328" s="15"/>
      <c r="G328" s="15"/>
      <c r="H328" s="17" t="str">
        <f aca="false">IF(E328="","",IF(F328="","check type",IF(IFERROR(INDEX(Codes!$B$3:$B$14,MATCH(F328,Codes!$A$3:$A$14,0)),0)=E328,"OK","points/type mismatch")))</f>
        <v/>
      </c>
    </row>
    <row r="329" customFormat="false" ht="15" hidden="false" customHeight="false" outlineLevel="0" collapsed="false">
      <c r="A329" s="15"/>
      <c r="B329" s="16"/>
      <c r="C329" s="15"/>
      <c r="D329" s="15"/>
      <c r="E329" s="15"/>
      <c r="F329" s="15"/>
      <c r="G329" s="15"/>
      <c r="H329" s="17" t="str">
        <f aca="false">IF(E329="","",IF(F329="","check type",IF(IFERROR(INDEX(Codes!$B$3:$B$14,MATCH(F329,Codes!$A$3:$A$14,0)),0)=E329,"OK","points/type mismatch")))</f>
        <v/>
      </c>
    </row>
    <row r="330" customFormat="false" ht="15" hidden="false" customHeight="false" outlineLevel="0" collapsed="false">
      <c r="A330" s="15"/>
      <c r="B330" s="16"/>
      <c r="C330" s="15"/>
      <c r="D330" s="15"/>
      <c r="E330" s="15"/>
      <c r="F330" s="15"/>
      <c r="G330" s="15"/>
      <c r="H330" s="17" t="str">
        <f aca="false">IF(E330="","",IF(F330="","check type",IF(IFERROR(INDEX(Codes!$B$3:$B$14,MATCH(F330,Codes!$A$3:$A$14,0)),0)=E330,"OK","points/type mismatch")))</f>
        <v/>
      </c>
    </row>
    <row r="331" customFormat="false" ht="15" hidden="false" customHeight="false" outlineLevel="0" collapsed="false">
      <c r="A331" s="15"/>
      <c r="B331" s="16"/>
      <c r="C331" s="15"/>
      <c r="D331" s="15"/>
      <c r="E331" s="15"/>
      <c r="F331" s="15"/>
      <c r="G331" s="15"/>
      <c r="H331" s="17" t="str">
        <f aca="false">IF(E331="","",IF(F331="","check type",IF(IFERROR(INDEX(Codes!$B$3:$B$14,MATCH(F331,Codes!$A$3:$A$14,0)),0)=E331,"OK","points/type mismatch")))</f>
        <v/>
      </c>
    </row>
    <row r="332" customFormat="false" ht="15" hidden="false" customHeight="false" outlineLevel="0" collapsed="false">
      <c r="A332" s="15"/>
      <c r="B332" s="16"/>
      <c r="C332" s="15"/>
      <c r="D332" s="15"/>
      <c r="E332" s="15"/>
      <c r="F332" s="15"/>
      <c r="G332" s="15"/>
      <c r="H332" s="17" t="str">
        <f aca="false">IF(E332="","",IF(F332="","check type",IF(IFERROR(INDEX(Codes!$B$3:$B$14,MATCH(F332,Codes!$A$3:$A$14,0)),0)=E332,"OK","points/type mismatch")))</f>
        <v/>
      </c>
    </row>
    <row r="333" customFormat="false" ht="15" hidden="false" customHeight="false" outlineLevel="0" collapsed="false">
      <c r="A333" s="15"/>
      <c r="B333" s="16"/>
      <c r="C333" s="15"/>
      <c r="D333" s="15"/>
      <c r="E333" s="15"/>
      <c r="F333" s="15"/>
      <c r="G333" s="15"/>
      <c r="H333" s="17" t="str">
        <f aca="false">IF(E333="","",IF(F333="","check type",IF(IFERROR(INDEX(Codes!$B$3:$B$14,MATCH(F333,Codes!$A$3:$A$14,0)),0)=E333,"OK","points/type mismatch")))</f>
        <v/>
      </c>
    </row>
    <row r="334" customFormat="false" ht="15" hidden="false" customHeight="false" outlineLevel="0" collapsed="false">
      <c r="A334" s="15"/>
      <c r="B334" s="16"/>
      <c r="C334" s="15"/>
      <c r="D334" s="15"/>
      <c r="E334" s="15"/>
      <c r="F334" s="15"/>
      <c r="G334" s="15"/>
      <c r="H334" s="17" t="str">
        <f aca="false">IF(E334="","",IF(F334="","check type",IF(IFERROR(INDEX(Codes!$B$3:$B$14,MATCH(F334,Codes!$A$3:$A$14,0)),0)=E334,"OK","points/type mismatch")))</f>
        <v/>
      </c>
    </row>
    <row r="335" customFormat="false" ht="15" hidden="false" customHeight="false" outlineLevel="0" collapsed="false">
      <c r="A335" s="15"/>
      <c r="B335" s="16"/>
      <c r="C335" s="15"/>
      <c r="D335" s="15"/>
      <c r="E335" s="15"/>
      <c r="F335" s="15"/>
      <c r="G335" s="15"/>
      <c r="H335" s="17" t="str">
        <f aca="false">IF(E335="","",IF(F335="","check type",IF(IFERROR(INDEX(Codes!$B$3:$B$14,MATCH(F335,Codes!$A$3:$A$14,0)),0)=E335,"OK","points/type mismatch")))</f>
        <v/>
      </c>
    </row>
    <row r="336" customFormat="false" ht="15" hidden="false" customHeight="false" outlineLevel="0" collapsed="false">
      <c r="A336" s="15"/>
      <c r="B336" s="16"/>
      <c r="C336" s="15"/>
      <c r="D336" s="15"/>
      <c r="E336" s="15"/>
      <c r="F336" s="15"/>
      <c r="G336" s="15"/>
      <c r="H336" s="17" t="str">
        <f aca="false">IF(E336="","",IF(F336="","check type",IF(IFERROR(INDEX(Codes!$B$3:$B$14,MATCH(F336,Codes!$A$3:$A$14,0)),0)=E336,"OK","points/type mismatch")))</f>
        <v/>
      </c>
    </row>
    <row r="337" customFormat="false" ht="15" hidden="false" customHeight="false" outlineLevel="0" collapsed="false">
      <c r="A337" s="15"/>
      <c r="B337" s="16"/>
      <c r="C337" s="15"/>
      <c r="D337" s="15"/>
      <c r="E337" s="15"/>
      <c r="F337" s="15"/>
      <c r="G337" s="15"/>
      <c r="H337" s="17" t="str">
        <f aca="false">IF(E337="","",IF(F337="","check type",IF(IFERROR(INDEX(Codes!$B$3:$B$14,MATCH(F337,Codes!$A$3:$A$14,0)),0)=E337,"OK","points/type mismatch")))</f>
        <v/>
      </c>
    </row>
    <row r="338" customFormat="false" ht="15" hidden="false" customHeight="false" outlineLevel="0" collapsed="false">
      <c r="A338" s="15"/>
      <c r="B338" s="16"/>
      <c r="C338" s="15"/>
      <c r="D338" s="15"/>
      <c r="E338" s="15"/>
      <c r="F338" s="15"/>
      <c r="G338" s="15"/>
      <c r="H338" s="17" t="str">
        <f aca="false">IF(E338="","",IF(F338="","check type",IF(IFERROR(INDEX(Codes!$B$3:$B$14,MATCH(F338,Codes!$A$3:$A$14,0)),0)=E338,"OK","points/type mismatch")))</f>
        <v/>
      </c>
    </row>
    <row r="339" customFormat="false" ht="15" hidden="false" customHeight="false" outlineLevel="0" collapsed="false">
      <c r="A339" s="15"/>
      <c r="B339" s="16"/>
      <c r="C339" s="15"/>
      <c r="D339" s="15"/>
      <c r="E339" s="15"/>
      <c r="F339" s="15"/>
      <c r="G339" s="15"/>
      <c r="H339" s="17" t="str">
        <f aca="false">IF(E339="","",IF(F339="","check type",IF(IFERROR(INDEX(Codes!$B$3:$B$14,MATCH(F339,Codes!$A$3:$A$14,0)),0)=E339,"OK","points/type mismatch")))</f>
        <v/>
      </c>
    </row>
    <row r="340" customFormat="false" ht="15" hidden="false" customHeight="false" outlineLevel="0" collapsed="false">
      <c r="A340" s="15"/>
      <c r="B340" s="16"/>
      <c r="C340" s="15"/>
      <c r="D340" s="15"/>
      <c r="E340" s="15"/>
      <c r="F340" s="15"/>
      <c r="G340" s="15"/>
      <c r="H340" s="17" t="str">
        <f aca="false">IF(E340="","",IF(F340="","check type",IF(IFERROR(INDEX(Codes!$B$3:$B$14,MATCH(F340,Codes!$A$3:$A$14,0)),0)=E340,"OK","points/type mismatch")))</f>
        <v/>
      </c>
    </row>
    <row r="341" customFormat="false" ht="15" hidden="false" customHeight="false" outlineLevel="0" collapsed="false">
      <c r="A341" s="15"/>
      <c r="B341" s="16"/>
      <c r="C341" s="15"/>
      <c r="D341" s="15"/>
      <c r="E341" s="15"/>
      <c r="F341" s="15"/>
      <c r="G341" s="15"/>
      <c r="H341" s="17" t="str">
        <f aca="false">IF(E341="","",IF(F341="","check type",IF(IFERROR(INDEX(Codes!$B$3:$B$14,MATCH(F341,Codes!$A$3:$A$14,0)),0)=E341,"OK","points/type mismatch")))</f>
        <v/>
      </c>
    </row>
    <row r="342" customFormat="false" ht="15" hidden="false" customHeight="false" outlineLevel="0" collapsed="false">
      <c r="A342" s="15"/>
      <c r="B342" s="16"/>
      <c r="C342" s="15"/>
      <c r="D342" s="15"/>
      <c r="E342" s="15"/>
      <c r="F342" s="15"/>
      <c r="G342" s="15"/>
      <c r="H342" s="17" t="str">
        <f aca="false">IF(E342="","",IF(F342="","check type",IF(IFERROR(INDEX(Codes!$B$3:$B$14,MATCH(F342,Codes!$A$3:$A$14,0)),0)=E342,"OK","points/type mismatch")))</f>
        <v/>
      </c>
    </row>
    <row r="343" customFormat="false" ht="15" hidden="false" customHeight="false" outlineLevel="0" collapsed="false">
      <c r="A343" s="15"/>
      <c r="B343" s="16"/>
      <c r="C343" s="15"/>
      <c r="D343" s="15"/>
      <c r="E343" s="15"/>
      <c r="F343" s="15"/>
      <c r="G343" s="15"/>
      <c r="H343" s="17" t="str">
        <f aca="false">IF(E343="","",IF(F343="","check type",IF(IFERROR(INDEX(Codes!$B$3:$B$14,MATCH(F343,Codes!$A$3:$A$14,0)),0)=E343,"OK","points/type mismatch")))</f>
        <v/>
      </c>
    </row>
    <row r="344" customFormat="false" ht="15" hidden="false" customHeight="false" outlineLevel="0" collapsed="false">
      <c r="A344" s="15"/>
      <c r="B344" s="16"/>
      <c r="C344" s="15"/>
      <c r="D344" s="15"/>
      <c r="E344" s="15"/>
      <c r="F344" s="15"/>
      <c r="G344" s="15"/>
      <c r="H344" s="17" t="str">
        <f aca="false">IF(E344="","",IF(F344="","check type",IF(IFERROR(INDEX(Codes!$B$3:$B$14,MATCH(F344,Codes!$A$3:$A$14,0)),0)=E344,"OK","points/type mismatch")))</f>
        <v/>
      </c>
    </row>
    <row r="345" customFormat="false" ht="15" hidden="false" customHeight="false" outlineLevel="0" collapsed="false">
      <c r="A345" s="15"/>
      <c r="B345" s="16"/>
      <c r="C345" s="15"/>
      <c r="D345" s="15"/>
      <c r="E345" s="15"/>
      <c r="F345" s="15"/>
      <c r="G345" s="15"/>
      <c r="H345" s="17" t="str">
        <f aca="false">IF(E345="","",IF(F345="","check type",IF(IFERROR(INDEX(Codes!$B$3:$B$14,MATCH(F345,Codes!$A$3:$A$14,0)),0)=E345,"OK","points/type mismatch")))</f>
        <v/>
      </c>
    </row>
    <row r="346" customFormat="false" ht="15" hidden="false" customHeight="false" outlineLevel="0" collapsed="false">
      <c r="A346" s="15"/>
      <c r="B346" s="16"/>
      <c r="C346" s="15"/>
      <c r="D346" s="15"/>
      <c r="E346" s="15"/>
      <c r="F346" s="15"/>
      <c r="G346" s="15"/>
      <c r="H346" s="17" t="str">
        <f aca="false">IF(E346="","",IF(F346="","check type",IF(IFERROR(INDEX(Codes!$B$3:$B$14,MATCH(F346,Codes!$A$3:$A$14,0)),0)=E346,"OK","points/type mismatch")))</f>
        <v/>
      </c>
    </row>
    <row r="347" customFormat="false" ht="15" hidden="false" customHeight="false" outlineLevel="0" collapsed="false">
      <c r="A347" s="15"/>
      <c r="B347" s="16"/>
      <c r="C347" s="15"/>
      <c r="D347" s="15"/>
      <c r="E347" s="15"/>
      <c r="F347" s="15"/>
      <c r="G347" s="15"/>
      <c r="H347" s="17" t="str">
        <f aca="false">IF(E347="","",IF(F347="","check type",IF(IFERROR(INDEX(Codes!$B$3:$B$14,MATCH(F347,Codes!$A$3:$A$14,0)),0)=E347,"OK","points/type mismatch")))</f>
        <v/>
      </c>
    </row>
    <row r="348" customFormat="false" ht="15" hidden="false" customHeight="false" outlineLevel="0" collapsed="false">
      <c r="A348" s="15"/>
      <c r="B348" s="16"/>
      <c r="C348" s="15"/>
      <c r="D348" s="15"/>
      <c r="E348" s="15"/>
      <c r="F348" s="15"/>
      <c r="G348" s="15"/>
      <c r="H348" s="17" t="str">
        <f aca="false">IF(E348="","",IF(F348="","check type",IF(IFERROR(INDEX(Codes!$B$3:$B$14,MATCH(F348,Codes!$A$3:$A$14,0)),0)=E348,"OK","points/type mismatch")))</f>
        <v/>
      </c>
    </row>
    <row r="349" customFormat="false" ht="15" hidden="false" customHeight="false" outlineLevel="0" collapsed="false">
      <c r="A349" s="15"/>
      <c r="B349" s="16"/>
      <c r="C349" s="15"/>
      <c r="D349" s="15"/>
      <c r="E349" s="15"/>
      <c r="F349" s="15"/>
      <c r="G349" s="15"/>
      <c r="H349" s="17" t="str">
        <f aca="false">IF(E349="","",IF(F349="","check type",IF(IFERROR(INDEX(Codes!$B$3:$B$14,MATCH(F349,Codes!$A$3:$A$14,0)),0)=E349,"OK","points/type mismatch")))</f>
        <v/>
      </c>
    </row>
    <row r="350" customFormat="false" ht="15" hidden="false" customHeight="false" outlineLevel="0" collapsed="false">
      <c r="A350" s="15"/>
      <c r="B350" s="16"/>
      <c r="C350" s="15"/>
      <c r="D350" s="15"/>
      <c r="E350" s="15"/>
      <c r="F350" s="15"/>
      <c r="G350" s="15"/>
      <c r="H350" s="17" t="str">
        <f aca="false">IF(E350="","",IF(F350="","check type",IF(IFERROR(INDEX(Codes!$B$3:$B$14,MATCH(F350,Codes!$A$3:$A$14,0)),0)=E350,"OK","points/type mismatch")))</f>
        <v/>
      </c>
    </row>
    <row r="351" customFormat="false" ht="15" hidden="false" customHeight="false" outlineLevel="0" collapsed="false">
      <c r="A351" s="15"/>
      <c r="B351" s="16"/>
      <c r="C351" s="15"/>
      <c r="D351" s="15"/>
      <c r="E351" s="15"/>
      <c r="F351" s="15"/>
      <c r="G351" s="15"/>
      <c r="H351" s="17" t="str">
        <f aca="false">IF(E351="","",IF(F351="","check type",IF(IFERROR(INDEX(Codes!$B$3:$B$14,MATCH(F351,Codes!$A$3:$A$14,0)),0)=E351,"OK","points/type mismatch")))</f>
        <v/>
      </c>
    </row>
    <row r="352" customFormat="false" ht="15" hidden="false" customHeight="false" outlineLevel="0" collapsed="false">
      <c r="A352" s="15"/>
      <c r="B352" s="16"/>
      <c r="C352" s="15"/>
      <c r="D352" s="15"/>
      <c r="E352" s="15"/>
      <c r="F352" s="15"/>
      <c r="G352" s="15"/>
      <c r="H352" s="17" t="str">
        <f aca="false">IF(E352="","",IF(F352="","check type",IF(IFERROR(INDEX(Codes!$B$3:$B$14,MATCH(F352,Codes!$A$3:$A$14,0)),0)=E352,"OK","points/type mismatch")))</f>
        <v/>
      </c>
    </row>
    <row r="353" customFormat="false" ht="15" hidden="false" customHeight="false" outlineLevel="0" collapsed="false">
      <c r="A353" s="15"/>
      <c r="B353" s="16"/>
      <c r="C353" s="15"/>
      <c r="D353" s="15"/>
      <c r="E353" s="15"/>
      <c r="F353" s="15"/>
      <c r="G353" s="15"/>
      <c r="H353" s="17" t="str">
        <f aca="false">IF(E353="","",IF(F353="","check type",IF(IFERROR(INDEX(Codes!$B$3:$B$14,MATCH(F353,Codes!$A$3:$A$14,0)),0)=E353,"OK","points/type mismatch")))</f>
        <v/>
      </c>
    </row>
    <row r="354" customFormat="false" ht="15" hidden="false" customHeight="false" outlineLevel="0" collapsed="false">
      <c r="A354" s="15"/>
      <c r="B354" s="16"/>
      <c r="C354" s="15"/>
      <c r="D354" s="15"/>
      <c r="E354" s="15"/>
      <c r="F354" s="15"/>
      <c r="G354" s="15"/>
      <c r="H354" s="17" t="str">
        <f aca="false">IF(E354="","",IF(F354="","check type",IF(IFERROR(INDEX(Codes!$B$3:$B$14,MATCH(F354,Codes!$A$3:$A$14,0)),0)=E354,"OK","points/type mismatch")))</f>
        <v/>
      </c>
    </row>
    <row r="355" customFormat="false" ht="15" hidden="false" customHeight="false" outlineLevel="0" collapsed="false">
      <c r="A355" s="15"/>
      <c r="B355" s="16"/>
      <c r="C355" s="15"/>
      <c r="D355" s="15"/>
      <c r="E355" s="15"/>
      <c r="F355" s="15"/>
      <c r="G355" s="15"/>
      <c r="H355" s="17" t="str">
        <f aca="false">IF(E355="","",IF(F355="","check type",IF(IFERROR(INDEX(Codes!$B$3:$B$14,MATCH(F355,Codes!$A$3:$A$14,0)),0)=E355,"OK","points/type mismatch")))</f>
        <v/>
      </c>
    </row>
    <row r="356" customFormat="false" ht="15" hidden="false" customHeight="false" outlineLevel="0" collapsed="false">
      <c r="A356" s="15"/>
      <c r="B356" s="16"/>
      <c r="C356" s="15"/>
      <c r="D356" s="15"/>
      <c r="E356" s="15"/>
      <c r="F356" s="15"/>
      <c r="G356" s="15"/>
      <c r="H356" s="17" t="str">
        <f aca="false">IF(E356="","",IF(F356="","check type",IF(IFERROR(INDEX(Codes!$B$3:$B$14,MATCH(F356,Codes!$A$3:$A$14,0)),0)=E356,"OK","points/type mismatch")))</f>
        <v/>
      </c>
    </row>
    <row r="357" customFormat="false" ht="15" hidden="false" customHeight="false" outlineLevel="0" collapsed="false">
      <c r="A357" s="15"/>
      <c r="B357" s="16"/>
      <c r="C357" s="15"/>
      <c r="D357" s="15"/>
      <c r="E357" s="15"/>
      <c r="F357" s="15"/>
      <c r="G357" s="15"/>
      <c r="H357" s="17" t="str">
        <f aca="false">IF(E357="","",IF(F357="","check type",IF(IFERROR(INDEX(Codes!$B$3:$B$14,MATCH(F357,Codes!$A$3:$A$14,0)),0)=E357,"OK","points/type mismatch")))</f>
        <v/>
      </c>
    </row>
    <row r="358" customFormat="false" ht="15" hidden="false" customHeight="false" outlineLevel="0" collapsed="false">
      <c r="A358" s="15"/>
      <c r="B358" s="16"/>
      <c r="C358" s="15"/>
      <c r="D358" s="15"/>
      <c r="E358" s="15"/>
      <c r="F358" s="15"/>
      <c r="G358" s="15"/>
      <c r="H358" s="17" t="str">
        <f aca="false">IF(E358="","",IF(F358="","check type",IF(IFERROR(INDEX(Codes!$B$3:$B$14,MATCH(F358,Codes!$A$3:$A$14,0)),0)=E358,"OK","points/type mismatch")))</f>
        <v/>
      </c>
    </row>
    <row r="359" customFormat="false" ht="15" hidden="false" customHeight="false" outlineLevel="0" collapsed="false">
      <c r="A359" s="15"/>
      <c r="B359" s="16"/>
      <c r="C359" s="15"/>
      <c r="D359" s="15"/>
      <c r="E359" s="15"/>
      <c r="F359" s="15"/>
      <c r="G359" s="15"/>
      <c r="H359" s="17" t="str">
        <f aca="false">IF(E359="","",IF(F359="","check type",IF(IFERROR(INDEX(Codes!$B$3:$B$14,MATCH(F359,Codes!$A$3:$A$14,0)),0)=E359,"OK","points/type mismatch")))</f>
        <v/>
      </c>
    </row>
    <row r="360" customFormat="false" ht="15" hidden="false" customHeight="false" outlineLevel="0" collapsed="false">
      <c r="A360" s="15"/>
      <c r="B360" s="16"/>
      <c r="C360" s="15"/>
      <c r="D360" s="15"/>
      <c r="E360" s="15"/>
      <c r="F360" s="15"/>
      <c r="G360" s="15"/>
      <c r="H360" s="17" t="str">
        <f aca="false">IF(E360="","",IF(F360="","check type",IF(IFERROR(INDEX(Codes!$B$3:$B$14,MATCH(F360,Codes!$A$3:$A$14,0)),0)=E360,"OK","points/type mismatch")))</f>
        <v/>
      </c>
    </row>
    <row r="361" customFormat="false" ht="15" hidden="false" customHeight="false" outlineLevel="0" collapsed="false">
      <c r="A361" s="15"/>
      <c r="B361" s="16"/>
      <c r="C361" s="15"/>
      <c r="D361" s="15"/>
      <c r="E361" s="15"/>
      <c r="F361" s="15"/>
      <c r="G361" s="15"/>
      <c r="H361" s="17" t="str">
        <f aca="false">IF(E361="","",IF(F361="","check type",IF(IFERROR(INDEX(Codes!$B$3:$B$14,MATCH(F361,Codes!$A$3:$A$14,0)),0)=E361,"OK","points/type mismatch")))</f>
        <v/>
      </c>
    </row>
    <row r="362" customFormat="false" ht="15" hidden="false" customHeight="false" outlineLevel="0" collapsed="false">
      <c r="A362" s="15"/>
      <c r="B362" s="16"/>
      <c r="C362" s="15"/>
      <c r="D362" s="15"/>
      <c r="E362" s="15"/>
      <c r="F362" s="15"/>
      <c r="G362" s="15"/>
      <c r="H362" s="17" t="str">
        <f aca="false">IF(E362="","",IF(F362="","check type",IF(IFERROR(INDEX(Codes!$B$3:$B$14,MATCH(F362,Codes!$A$3:$A$14,0)),0)=E362,"OK","points/type mismatch")))</f>
        <v/>
      </c>
    </row>
    <row r="363" customFormat="false" ht="15" hidden="false" customHeight="false" outlineLevel="0" collapsed="false">
      <c r="A363" s="15"/>
      <c r="B363" s="16"/>
      <c r="C363" s="15"/>
      <c r="D363" s="15"/>
      <c r="E363" s="15"/>
      <c r="F363" s="15"/>
      <c r="G363" s="15"/>
      <c r="H363" s="17" t="str">
        <f aca="false">IF(E363="","",IF(F363="","check type",IF(IFERROR(INDEX(Codes!$B$3:$B$14,MATCH(F363,Codes!$A$3:$A$14,0)),0)=E363,"OK","points/type mismatch")))</f>
        <v/>
      </c>
    </row>
    <row r="364" customFormat="false" ht="15" hidden="false" customHeight="false" outlineLevel="0" collapsed="false">
      <c r="A364" s="15"/>
      <c r="B364" s="16"/>
      <c r="C364" s="15"/>
      <c r="D364" s="15"/>
      <c r="E364" s="15"/>
      <c r="F364" s="15"/>
      <c r="G364" s="15"/>
      <c r="H364" s="17" t="str">
        <f aca="false">IF(E364="","",IF(F364="","check type",IF(IFERROR(INDEX(Codes!$B$3:$B$14,MATCH(F364,Codes!$A$3:$A$14,0)),0)=E364,"OK","points/type mismatch")))</f>
        <v/>
      </c>
    </row>
    <row r="365" customFormat="false" ht="15" hidden="false" customHeight="false" outlineLevel="0" collapsed="false">
      <c r="A365" s="15"/>
      <c r="B365" s="16"/>
      <c r="C365" s="15"/>
      <c r="D365" s="15"/>
      <c r="E365" s="15"/>
      <c r="F365" s="15"/>
      <c r="G365" s="15"/>
      <c r="H365" s="17" t="str">
        <f aca="false">IF(E365="","",IF(F365="","check type",IF(IFERROR(INDEX(Codes!$B$3:$B$14,MATCH(F365,Codes!$A$3:$A$14,0)),0)=E365,"OK","points/type mismatch")))</f>
        <v/>
      </c>
    </row>
    <row r="366" customFormat="false" ht="15" hidden="false" customHeight="false" outlineLevel="0" collapsed="false">
      <c r="A366" s="15"/>
      <c r="B366" s="16"/>
      <c r="C366" s="15"/>
      <c r="D366" s="15"/>
      <c r="E366" s="15"/>
      <c r="F366" s="15"/>
      <c r="G366" s="15"/>
      <c r="H366" s="17" t="str">
        <f aca="false">IF(E366="","",IF(F366="","check type",IF(IFERROR(INDEX(Codes!$B$3:$B$14,MATCH(F366,Codes!$A$3:$A$14,0)),0)=E366,"OK","points/type mismatch")))</f>
        <v/>
      </c>
    </row>
    <row r="367" customFormat="false" ht="15" hidden="false" customHeight="false" outlineLevel="0" collapsed="false">
      <c r="A367" s="15"/>
      <c r="B367" s="16"/>
      <c r="C367" s="15"/>
      <c r="D367" s="15"/>
      <c r="E367" s="15"/>
      <c r="F367" s="15"/>
      <c r="G367" s="15"/>
      <c r="H367" s="17" t="str">
        <f aca="false">IF(E367="","",IF(F367="","check type",IF(IFERROR(INDEX(Codes!$B$3:$B$14,MATCH(F367,Codes!$A$3:$A$14,0)),0)=E367,"OK","points/type mismatch")))</f>
        <v/>
      </c>
    </row>
    <row r="368" customFormat="false" ht="15" hidden="false" customHeight="false" outlineLevel="0" collapsed="false">
      <c r="A368" s="15"/>
      <c r="B368" s="16"/>
      <c r="C368" s="15"/>
      <c r="D368" s="15"/>
      <c r="E368" s="15"/>
      <c r="F368" s="15"/>
      <c r="G368" s="15"/>
      <c r="H368" s="17" t="str">
        <f aca="false">IF(E368="","",IF(F368="","check type",IF(IFERROR(INDEX(Codes!$B$3:$B$14,MATCH(F368,Codes!$A$3:$A$14,0)),0)=E368,"OK","points/type mismatch")))</f>
        <v/>
      </c>
    </row>
    <row r="369" customFormat="false" ht="15" hidden="false" customHeight="false" outlineLevel="0" collapsed="false">
      <c r="A369" s="15"/>
      <c r="B369" s="16"/>
      <c r="C369" s="15"/>
      <c r="D369" s="15"/>
      <c r="E369" s="15"/>
      <c r="F369" s="15"/>
      <c r="G369" s="15"/>
      <c r="H369" s="17" t="str">
        <f aca="false">IF(E369="","",IF(F369="","check type",IF(IFERROR(INDEX(Codes!$B$3:$B$14,MATCH(F369,Codes!$A$3:$A$14,0)),0)=E369,"OK","points/type mismatch")))</f>
        <v/>
      </c>
    </row>
    <row r="370" customFormat="false" ht="15" hidden="false" customHeight="false" outlineLevel="0" collapsed="false">
      <c r="A370" s="15"/>
      <c r="B370" s="16"/>
      <c r="C370" s="15"/>
      <c r="D370" s="15"/>
      <c r="E370" s="15"/>
      <c r="F370" s="15"/>
      <c r="G370" s="15"/>
      <c r="H370" s="17" t="str">
        <f aca="false">IF(E370="","",IF(F370="","check type",IF(IFERROR(INDEX(Codes!$B$3:$B$14,MATCH(F370,Codes!$A$3:$A$14,0)),0)=E370,"OK","points/type mismatch")))</f>
        <v/>
      </c>
    </row>
    <row r="371" customFormat="false" ht="15" hidden="false" customHeight="false" outlineLevel="0" collapsed="false">
      <c r="A371" s="15"/>
      <c r="B371" s="16"/>
      <c r="C371" s="15"/>
      <c r="D371" s="15"/>
      <c r="E371" s="15"/>
      <c r="F371" s="15"/>
      <c r="G371" s="15"/>
      <c r="H371" s="17" t="str">
        <f aca="false">IF(E371="","",IF(F371="","check type",IF(IFERROR(INDEX(Codes!$B$3:$B$14,MATCH(F371,Codes!$A$3:$A$14,0)),0)=E371,"OK","points/type mismatch")))</f>
        <v/>
      </c>
    </row>
    <row r="372" customFormat="false" ht="15" hidden="false" customHeight="false" outlineLevel="0" collapsed="false">
      <c r="A372" s="15"/>
      <c r="B372" s="16"/>
      <c r="C372" s="15"/>
      <c r="D372" s="15"/>
      <c r="E372" s="15"/>
      <c r="F372" s="15"/>
      <c r="G372" s="15"/>
      <c r="H372" s="17" t="str">
        <f aca="false">IF(E372="","",IF(F372="","check type",IF(IFERROR(INDEX(Codes!$B$3:$B$14,MATCH(F372,Codes!$A$3:$A$14,0)),0)=E372,"OK","points/type mismatch")))</f>
        <v/>
      </c>
    </row>
    <row r="373" customFormat="false" ht="15" hidden="false" customHeight="false" outlineLevel="0" collapsed="false">
      <c r="A373" s="15"/>
      <c r="B373" s="16"/>
      <c r="C373" s="15"/>
      <c r="D373" s="15"/>
      <c r="E373" s="15"/>
      <c r="F373" s="15"/>
      <c r="G373" s="15"/>
      <c r="H373" s="17" t="str">
        <f aca="false">IF(E373="","",IF(F373="","check type",IF(IFERROR(INDEX(Codes!$B$3:$B$14,MATCH(F373,Codes!$A$3:$A$14,0)),0)=E373,"OK","points/type mismatch")))</f>
        <v/>
      </c>
    </row>
    <row r="374" customFormat="false" ht="15" hidden="false" customHeight="false" outlineLevel="0" collapsed="false">
      <c r="A374" s="15"/>
      <c r="B374" s="16"/>
      <c r="C374" s="15"/>
      <c r="D374" s="15"/>
      <c r="E374" s="15"/>
      <c r="F374" s="15"/>
      <c r="G374" s="15"/>
      <c r="H374" s="17" t="str">
        <f aca="false">IF(E374="","",IF(F374="","check type",IF(IFERROR(INDEX(Codes!$B$3:$B$14,MATCH(F374,Codes!$A$3:$A$14,0)),0)=E374,"OK","points/type mismatch")))</f>
        <v/>
      </c>
    </row>
    <row r="375" customFormat="false" ht="15" hidden="false" customHeight="false" outlineLevel="0" collapsed="false">
      <c r="A375" s="15"/>
      <c r="B375" s="16"/>
      <c r="C375" s="15"/>
      <c r="D375" s="15"/>
      <c r="E375" s="15"/>
      <c r="F375" s="15"/>
      <c r="G375" s="15"/>
      <c r="H375" s="17" t="str">
        <f aca="false">IF(E375="","",IF(F375="","check type",IF(IFERROR(INDEX(Codes!$B$3:$B$14,MATCH(F375,Codes!$A$3:$A$14,0)),0)=E375,"OK","points/type mismatch")))</f>
        <v/>
      </c>
    </row>
    <row r="376" customFormat="false" ht="15" hidden="false" customHeight="false" outlineLevel="0" collapsed="false">
      <c r="A376" s="15"/>
      <c r="B376" s="16"/>
      <c r="C376" s="15"/>
      <c r="D376" s="15"/>
      <c r="E376" s="15"/>
      <c r="F376" s="15"/>
      <c r="G376" s="15"/>
      <c r="H376" s="17" t="str">
        <f aca="false">IF(E376="","",IF(F376="","check type",IF(IFERROR(INDEX(Codes!$B$3:$B$14,MATCH(F376,Codes!$A$3:$A$14,0)),0)=E376,"OK","points/type mismatch")))</f>
        <v/>
      </c>
    </row>
    <row r="377" customFormat="false" ht="15" hidden="false" customHeight="false" outlineLevel="0" collapsed="false">
      <c r="A377" s="15"/>
      <c r="B377" s="16"/>
      <c r="C377" s="15"/>
      <c r="D377" s="15"/>
      <c r="E377" s="15"/>
      <c r="F377" s="15"/>
      <c r="G377" s="15"/>
      <c r="H377" s="17" t="str">
        <f aca="false">IF(E377="","",IF(F377="","check type",IF(IFERROR(INDEX(Codes!$B$3:$B$14,MATCH(F377,Codes!$A$3:$A$14,0)),0)=E377,"OK","points/type mismatch")))</f>
        <v/>
      </c>
    </row>
    <row r="378" customFormat="false" ht="15" hidden="false" customHeight="false" outlineLevel="0" collapsed="false">
      <c r="A378" s="15"/>
      <c r="B378" s="16"/>
      <c r="C378" s="15"/>
      <c r="D378" s="15"/>
      <c r="E378" s="15"/>
      <c r="F378" s="15"/>
      <c r="G378" s="15"/>
      <c r="H378" s="17" t="str">
        <f aca="false">IF(E378="","",IF(F378="","check type",IF(IFERROR(INDEX(Codes!$B$3:$B$14,MATCH(F378,Codes!$A$3:$A$14,0)),0)=E378,"OK","points/type mismatch")))</f>
        <v/>
      </c>
    </row>
    <row r="379" customFormat="false" ht="15" hidden="false" customHeight="false" outlineLevel="0" collapsed="false">
      <c r="A379" s="15"/>
      <c r="B379" s="16"/>
      <c r="C379" s="15"/>
      <c r="D379" s="15"/>
      <c r="E379" s="15"/>
      <c r="F379" s="15"/>
      <c r="G379" s="15"/>
      <c r="H379" s="17" t="str">
        <f aca="false">IF(E379="","",IF(F379="","check type",IF(IFERROR(INDEX(Codes!$B$3:$B$14,MATCH(F379,Codes!$A$3:$A$14,0)),0)=E379,"OK","points/type mismatch")))</f>
        <v/>
      </c>
    </row>
    <row r="380" customFormat="false" ht="15" hidden="false" customHeight="false" outlineLevel="0" collapsed="false">
      <c r="A380" s="15"/>
      <c r="B380" s="16"/>
      <c r="C380" s="15"/>
      <c r="D380" s="15"/>
      <c r="E380" s="15"/>
      <c r="F380" s="15"/>
      <c r="G380" s="15"/>
      <c r="H380" s="17" t="str">
        <f aca="false">IF(E380="","",IF(F380="","check type",IF(IFERROR(INDEX(Codes!$B$3:$B$14,MATCH(F380,Codes!$A$3:$A$14,0)),0)=E380,"OK","points/type mismatch")))</f>
        <v/>
      </c>
    </row>
    <row r="381" customFormat="false" ht="15" hidden="false" customHeight="false" outlineLevel="0" collapsed="false">
      <c r="A381" s="15"/>
      <c r="B381" s="16"/>
      <c r="C381" s="15"/>
      <c r="D381" s="15"/>
      <c r="E381" s="15"/>
      <c r="F381" s="15"/>
      <c r="G381" s="15"/>
      <c r="H381" s="17" t="str">
        <f aca="false">IF(E381="","",IF(F381="","check type",IF(IFERROR(INDEX(Codes!$B$3:$B$14,MATCH(F381,Codes!$A$3:$A$14,0)),0)=E381,"OK","points/type mismatch")))</f>
        <v/>
      </c>
    </row>
    <row r="382" customFormat="false" ht="15" hidden="false" customHeight="false" outlineLevel="0" collapsed="false">
      <c r="A382" s="15"/>
      <c r="B382" s="16"/>
      <c r="C382" s="15"/>
      <c r="D382" s="15"/>
      <c r="E382" s="15"/>
      <c r="F382" s="15"/>
      <c r="G382" s="15"/>
      <c r="H382" s="17" t="str">
        <f aca="false">IF(E382="","",IF(F382="","check type",IF(IFERROR(INDEX(Codes!$B$3:$B$14,MATCH(F382,Codes!$A$3:$A$14,0)),0)=E382,"OK","points/type mismatch")))</f>
        <v/>
      </c>
    </row>
    <row r="383" customFormat="false" ht="15" hidden="false" customHeight="false" outlineLevel="0" collapsed="false">
      <c r="A383" s="15"/>
      <c r="B383" s="16"/>
      <c r="C383" s="15"/>
      <c r="D383" s="15"/>
      <c r="E383" s="15"/>
      <c r="F383" s="15"/>
      <c r="G383" s="15"/>
      <c r="H383" s="17" t="str">
        <f aca="false">IF(E383="","",IF(F383="","check type",IF(IFERROR(INDEX(Codes!$B$3:$B$14,MATCH(F383,Codes!$A$3:$A$14,0)),0)=E383,"OK","points/type mismatch")))</f>
        <v/>
      </c>
    </row>
    <row r="384" customFormat="false" ht="15" hidden="false" customHeight="false" outlineLevel="0" collapsed="false">
      <c r="A384" s="15"/>
      <c r="B384" s="16"/>
      <c r="C384" s="15"/>
      <c r="D384" s="15"/>
      <c r="E384" s="15"/>
      <c r="F384" s="15"/>
      <c r="G384" s="15"/>
      <c r="H384" s="17" t="str">
        <f aca="false">IF(E384="","",IF(F384="","check type",IF(IFERROR(INDEX(Codes!$B$3:$B$14,MATCH(F384,Codes!$A$3:$A$14,0)),0)=E384,"OK","points/type mismatch")))</f>
        <v/>
      </c>
    </row>
    <row r="385" customFormat="false" ht="15" hidden="false" customHeight="false" outlineLevel="0" collapsed="false">
      <c r="A385" s="15"/>
      <c r="B385" s="16"/>
      <c r="C385" s="15"/>
      <c r="D385" s="15"/>
      <c r="E385" s="15"/>
      <c r="F385" s="15"/>
      <c r="G385" s="15"/>
      <c r="H385" s="17" t="str">
        <f aca="false">IF(E385="","",IF(F385="","check type",IF(IFERROR(INDEX(Codes!$B$3:$B$14,MATCH(F385,Codes!$A$3:$A$14,0)),0)=E385,"OK","points/type mismatch")))</f>
        <v/>
      </c>
    </row>
    <row r="386" customFormat="false" ht="15" hidden="false" customHeight="false" outlineLevel="0" collapsed="false">
      <c r="A386" s="15"/>
      <c r="B386" s="16"/>
      <c r="C386" s="15"/>
      <c r="D386" s="15"/>
      <c r="E386" s="15"/>
      <c r="F386" s="15"/>
      <c r="G386" s="15"/>
      <c r="H386" s="17" t="str">
        <f aca="false">IF(E386="","",IF(F386="","check type",IF(IFERROR(INDEX(Codes!$B$3:$B$14,MATCH(F386,Codes!$A$3:$A$14,0)),0)=E386,"OK","points/type mismatch")))</f>
        <v/>
      </c>
    </row>
    <row r="387" customFormat="false" ht="15" hidden="false" customHeight="false" outlineLevel="0" collapsed="false">
      <c r="A387" s="15"/>
      <c r="B387" s="16"/>
      <c r="C387" s="15"/>
      <c r="D387" s="15"/>
      <c r="E387" s="15"/>
      <c r="F387" s="15"/>
      <c r="G387" s="15"/>
      <c r="H387" s="17" t="str">
        <f aca="false">IF(E387="","",IF(F387="","check type",IF(IFERROR(INDEX(Codes!$B$3:$B$14,MATCH(F387,Codes!$A$3:$A$14,0)),0)=E387,"OK","points/type mismatch")))</f>
        <v/>
      </c>
    </row>
    <row r="388" customFormat="false" ht="15" hidden="false" customHeight="false" outlineLevel="0" collapsed="false">
      <c r="A388" s="15"/>
      <c r="B388" s="16"/>
      <c r="C388" s="15"/>
      <c r="D388" s="15"/>
      <c r="E388" s="15"/>
      <c r="F388" s="15"/>
      <c r="G388" s="15"/>
      <c r="H388" s="17" t="str">
        <f aca="false">IF(E388="","",IF(F388="","check type",IF(IFERROR(INDEX(Codes!$B$3:$B$14,MATCH(F388,Codes!$A$3:$A$14,0)),0)=E388,"OK","points/type mismatch")))</f>
        <v/>
      </c>
    </row>
    <row r="389" customFormat="false" ht="15" hidden="false" customHeight="false" outlineLevel="0" collapsed="false">
      <c r="A389" s="15"/>
      <c r="B389" s="16"/>
      <c r="C389" s="15"/>
      <c r="D389" s="15"/>
      <c r="E389" s="15"/>
      <c r="F389" s="15"/>
      <c r="G389" s="15"/>
      <c r="H389" s="17" t="str">
        <f aca="false">IF(E389="","",IF(F389="","check type",IF(IFERROR(INDEX(Codes!$B$3:$B$14,MATCH(F389,Codes!$A$3:$A$14,0)),0)=E389,"OK","points/type mismatch")))</f>
        <v/>
      </c>
    </row>
    <row r="390" customFormat="false" ht="15" hidden="false" customHeight="false" outlineLevel="0" collapsed="false">
      <c r="A390" s="15"/>
      <c r="B390" s="16"/>
      <c r="C390" s="15"/>
      <c r="D390" s="15"/>
      <c r="E390" s="15"/>
      <c r="F390" s="15"/>
      <c r="G390" s="15"/>
      <c r="H390" s="17" t="str">
        <f aca="false">IF(E390="","",IF(F390="","check type",IF(IFERROR(INDEX(Codes!$B$3:$B$14,MATCH(F390,Codes!$A$3:$A$14,0)),0)=E390,"OK","points/type mismatch")))</f>
        <v/>
      </c>
    </row>
    <row r="391" customFormat="false" ht="15" hidden="false" customHeight="false" outlineLevel="0" collapsed="false">
      <c r="A391" s="15"/>
      <c r="B391" s="16"/>
      <c r="C391" s="15"/>
      <c r="D391" s="15"/>
      <c r="E391" s="15"/>
      <c r="F391" s="15"/>
      <c r="G391" s="15"/>
      <c r="H391" s="17" t="str">
        <f aca="false">IF(E391="","",IF(F391="","check type",IF(IFERROR(INDEX(Codes!$B$3:$B$14,MATCH(F391,Codes!$A$3:$A$14,0)),0)=E391,"OK","points/type mismatch")))</f>
        <v/>
      </c>
    </row>
    <row r="392" customFormat="false" ht="15" hidden="false" customHeight="false" outlineLevel="0" collapsed="false">
      <c r="A392" s="15"/>
      <c r="B392" s="16"/>
      <c r="C392" s="15"/>
      <c r="D392" s="15"/>
      <c r="E392" s="15"/>
      <c r="F392" s="15"/>
      <c r="G392" s="15"/>
      <c r="H392" s="17" t="str">
        <f aca="false">IF(E392="","",IF(F392="","check type",IF(IFERROR(INDEX(Codes!$B$3:$B$14,MATCH(F392,Codes!$A$3:$A$14,0)),0)=E392,"OK","points/type mismatch")))</f>
        <v/>
      </c>
    </row>
    <row r="393" customFormat="false" ht="15" hidden="false" customHeight="false" outlineLevel="0" collapsed="false">
      <c r="A393" s="15"/>
      <c r="B393" s="16"/>
      <c r="C393" s="15"/>
      <c r="D393" s="15"/>
      <c r="E393" s="15"/>
      <c r="F393" s="15"/>
      <c r="G393" s="15"/>
      <c r="H393" s="17" t="str">
        <f aca="false">IF(E393="","",IF(F393="","check type",IF(IFERROR(INDEX(Codes!$B$3:$B$14,MATCH(F393,Codes!$A$3:$A$14,0)),0)=E393,"OK","points/type mismatch")))</f>
        <v/>
      </c>
    </row>
    <row r="394" customFormat="false" ht="15" hidden="false" customHeight="false" outlineLevel="0" collapsed="false">
      <c r="A394" s="15"/>
      <c r="B394" s="16"/>
      <c r="C394" s="15"/>
      <c r="D394" s="15"/>
      <c r="E394" s="15"/>
      <c r="F394" s="15"/>
      <c r="G394" s="15"/>
      <c r="H394" s="17" t="str">
        <f aca="false">IF(E394="","",IF(F394="","check type",IF(IFERROR(INDEX(Codes!$B$3:$B$14,MATCH(F394,Codes!$A$3:$A$14,0)),0)=E394,"OK","points/type mismatch")))</f>
        <v/>
      </c>
    </row>
    <row r="395" customFormat="false" ht="15" hidden="false" customHeight="false" outlineLevel="0" collapsed="false">
      <c r="A395" s="15"/>
      <c r="B395" s="16"/>
      <c r="C395" s="15"/>
      <c r="D395" s="15"/>
      <c r="E395" s="15"/>
      <c r="F395" s="15"/>
      <c r="G395" s="15"/>
      <c r="H395" s="17" t="str">
        <f aca="false">IF(E395="","",IF(F395="","check type",IF(IFERROR(INDEX(Codes!$B$3:$B$14,MATCH(F395,Codes!$A$3:$A$14,0)),0)=E395,"OK","points/type mismatch")))</f>
        <v/>
      </c>
    </row>
    <row r="396" customFormat="false" ht="15" hidden="false" customHeight="false" outlineLevel="0" collapsed="false">
      <c r="A396" s="15"/>
      <c r="B396" s="16"/>
      <c r="C396" s="15"/>
      <c r="D396" s="15"/>
      <c r="E396" s="15"/>
      <c r="F396" s="15"/>
      <c r="G396" s="15"/>
      <c r="H396" s="17" t="str">
        <f aca="false">IF(E396="","",IF(F396="","check type",IF(IFERROR(INDEX(Codes!$B$3:$B$14,MATCH(F396,Codes!$A$3:$A$14,0)),0)=E396,"OK","points/type mismatch")))</f>
        <v/>
      </c>
    </row>
    <row r="397" customFormat="false" ht="15" hidden="false" customHeight="false" outlineLevel="0" collapsed="false">
      <c r="A397" s="15"/>
      <c r="B397" s="16"/>
      <c r="C397" s="15"/>
      <c r="D397" s="15"/>
      <c r="E397" s="15"/>
      <c r="F397" s="15"/>
      <c r="G397" s="15"/>
      <c r="H397" s="17" t="str">
        <f aca="false">IF(E397="","",IF(F397="","check type",IF(IFERROR(INDEX(Codes!$B$3:$B$14,MATCH(F397,Codes!$A$3:$A$14,0)),0)=E397,"OK","points/type mismatch")))</f>
        <v/>
      </c>
    </row>
    <row r="398" customFormat="false" ht="15" hidden="false" customHeight="false" outlineLevel="0" collapsed="false">
      <c r="A398" s="15"/>
      <c r="B398" s="16"/>
      <c r="C398" s="15"/>
      <c r="D398" s="15"/>
      <c r="E398" s="15"/>
      <c r="F398" s="15"/>
      <c r="G398" s="15"/>
      <c r="H398" s="17" t="str">
        <f aca="false">IF(E398="","",IF(F398="","check type",IF(IFERROR(INDEX(Codes!$B$3:$B$14,MATCH(F398,Codes!$A$3:$A$14,0)),0)=E398,"OK","points/type mismatch")))</f>
        <v/>
      </c>
    </row>
    <row r="399" customFormat="false" ht="15" hidden="false" customHeight="false" outlineLevel="0" collapsed="false">
      <c r="A399" s="15"/>
      <c r="B399" s="16"/>
      <c r="C399" s="15"/>
      <c r="D399" s="15"/>
      <c r="E399" s="15"/>
      <c r="F399" s="15"/>
      <c r="G399" s="15"/>
      <c r="H399" s="17" t="str">
        <f aca="false">IF(E399="","",IF(F399="","check type",IF(IFERROR(INDEX(Codes!$B$3:$B$14,MATCH(F399,Codes!$A$3:$A$14,0)),0)=E399,"OK","points/type mismatch")))</f>
        <v/>
      </c>
    </row>
    <row r="400" customFormat="false" ht="15" hidden="false" customHeight="false" outlineLevel="0" collapsed="false">
      <c r="A400" s="15"/>
      <c r="B400" s="16"/>
      <c r="C400" s="15"/>
      <c r="D400" s="15"/>
      <c r="E400" s="15"/>
      <c r="F400" s="15"/>
      <c r="G400" s="15"/>
      <c r="H400" s="17" t="str">
        <f aca="false">IF(E400="","",IF(F400="","check type",IF(IFERROR(INDEX(Codes!$B$3:$B$14,MATCH(F400,Codes!$A$3:$A$14,0)),0)=E400,"OK","points/type mismatch")))</f>
        <v/>
      </c>
    </row>
    <row r="401" customFormat="false" ht="15" hidden="false" customHeight="false" outlineLevel="0" collapsed="false">
      <c r="A401" s="15"/>
      <c r="B401" s="16"/>
      <c r="C401" s="15"/>
      <c r="D401" s="15"/>
      <c r="E401" s="15"/>
      <c r="F401" s="15"/>
      <c r="G401" s="15"/>
      <c r="H401" s="17" t="str">
        <f aca="false">IF(E401="","",IF(F401="","check type",IF(IFERROR(INDEX(Codes!$B$3:$B$14,MATCH(F401,Codes!$A$3:$A$14,0)),0)=E401,"OK","points/type mismatch")))</f>
        <v/>
      </c>
    </row>
    <row r="402" customFormat="false" ht="15" hidden="false" customHeight="false" outlineLevel="0" collapsed="false">
      <c r="A402" s="15"/>
      <c r="B402" s="16"/>
      <c r="C402" s="15"/>
      <c r="D402" s="15"/>
      <c r="E402" s="15"/>
      <c r="F402" s="15"/>
      <c r="G402" s="15"/>
      <c r="H402" s="17" t="str">
        <f aca="false">IF(E402="","",IF(F402="","check type",IF(IFERROR(INDEX(Codes!$B$3:$B$14,MATCH(F402,Codes!$A$3:$A$14,0)),0)=E402,"OK","points/type mismatch")))</f>
        <v/>
      </c>
    </row>
    <row r="403" customFormat="false" ht="15" hidden="false" customHeight="false" outlineLevel="0" collapsed="false">
      <c r="A403" s="15"/>
      <c r="B403" s="16"/>
      <c r="C403" s="15"/>
      <c r="D403" s="15"/>
      <c r="E403" s="15"/>
      <c r="F403" s="15"/>
      <c r="G403" s="15"/>
      <c r="H403" s="17" t="str">
        <f aca="false">IF(E403="","",IF(F403="","check type",IF(IFERROR(INDEX(Codes!$B$3:$B$14,MATCH(F403,Codes!$A$3:$A$14,0)),0)=E403,"OK","points/type mismatch")))</f>
        <v/>
      </c>
    </row>
    <row r="404" customFormat="false" ht="15" hidden="false" customHeight="false" outlineLevel="0" collapsed="false">
      <c r="A404" s="15"/>
      <c r="B404" s="16"/>
      <c r="C404" s="15"/>
      <c r="D404" s="15"/>
      <c r="E404" s="15"/>
      <c r="F404" s="15"/>
      <c r="G404" s="15"/>
      <c r="H404" s="17" t="str">
        <f aca="false">IF(E404="","",IF(F404="","check type",IF(IFERROR(INDEX(Codes!$B$3:$B$14,MATCH(F404,Codes!$A$3:$A$14,0)),0)=E404,"OK","points/type mismatch")))</f>
        <v/>
      </c>
    </row>
    <row r="405" customFormat="false" ht="15" hidden="false" customHeight="false" outlineLevel="0" collapsed="false">
      <c r="A405" s="15"/>
      <c r="B405" s="16"/>
      <c r="C405" s="15"/>
      <c r="D405" s="15"/>
      <c r="E405" s="15"/>
      <c r="F405" s="15"/>
      <c r="G405" s="15"/>
      <c r="H405" s="17" t="str">
        <f aca="false">IF(E405="","",IF(F405="","check type",IF(IFERROR(INDEX(Codes!$B$3:$B$14,MATCH(F405,Codes!$A$3:$A$14,0)),0)=E405,"OK","points/type mismatch")))</f>
        <v/>
      </c>
    </row>
    <row r="406" customFormat="false" ht="15" hidden="false" customHeight="false" outlineLevel="0" collapsed="false">
      <c r="A406" s="15"/>
      <c r="B406" s="16"/>
      <c r="C406" s="15"/>
      <c r="D406" s="15"/>
      <c r="E406" s="15"/>
      <c r="F406" s="15"/>
      <c r="G406" s="15"/>
      <c r="H406" s="17" t="str">
        <f aca="false">IF(E406="","",IF(F406="","check type",IF(IFERROR(INDEX(Codes!$B$3:$B$14,MATCH(F406,Codes!$A$3:$A$14,0)),0)=E406,"OK","points/type mismatch")))</f>
        <v/>
      </c>
    </row>
    <row r="407" customFormat="false" ht="15" hidden="false" customHeight="false" outlineLevel="0" collapsed="false">
      <c r="A407" s="15"/>
      <c r="B407" s="16"/>
      <c r="C407" s="15"/>
      <c r="D407" s="15"/>
      <c r="E407" s="15"/>
      <c r="F407" s="15"/>
      <c r="G407" s="15"/>
      <c r="H407" s="17" t="str">
        <f aca="false">IF(E407="","",IF(F407="","check type",IF(IFERROR(INDEX(Codes!$B$3:$B$14,MATCH(F407,Codes!$A$3:$A$14,0)),0)=E407,"OK","points/type mismatch")))</f>
        <v/>
      </c>
    </row>
    <row r="408" customFormat="false" ht="15" hidden="false" customHeight="false" outlineLevel="0" collapsed="false">
      <c r="A408" s="15"/>
      <c r="B408" s="16"/>
      <c r="C408" s="15"/>
      <c r="D408" s="15"/>
      <c r="E408" s="15"/>
      <c r="F408" s="15"/>
      <c r="G408" s="15"/>
      <c r="H408" s="17" t="str">
        <f aca="false">IF(E408="","",IF(F408="","check type",IF(IFERROR(INDEX(Codes!$B$3:$B$14,MATCH(F408,Codes!$A$3:$A$14,0)),0)=E408,"OK","points/type mismatch")))</f>
        <v/>
      </c>
    </row>
    <row r="409" customFormat="false" ht="15" hidden="false" customHeight="false" outlineLevel="0" collapsed="false">
      <c r="A409" s="15"/>
      <c r="B409" s="16"/>
      <c r="C409" s="15"/>
      <c r="D409" s="15"/>
      <c r="E409" s="15"/>
      <c r="F409" s="15"/>
      <c r="G409" s="15"/>
      <c r="H409" s="17" t="str">
        <f aca="false">IF(E409="","",IF(F409="","check type",IF(IFERROR(INDEX(Codes!$B$3:$B$14,MATCH(F409,Codes!$A$3:$A$14,0)),0)=E409,"OK","points/type mismatch")))</f>
        <v/>
      </c>
    </row>
    <row r="410" customFormat="false" ht="15" hidden="false" customHeight="false" outlineLevel="0" collapsed="false">
      <c r="A410" s="15"/>
      <c r="B410" s="16"/>
      <c r="C410" s="15"/>
      <c r="D410" s="15"/>
      <c r="E410" s="15"/>
      <c r="F410" s="15"/>
      <c r="G410" s="15"/>
      <c r="H410" s="17" t="str">
        <f aca="false">IF(E410="","",IF(F410="","check type",IF(IFERROR(INDEX(Codes!$B$3:$B$14,MATCH(F410,Codes!$A$3:$A$14,0)),0)=E410,"OK","points/type mismatch")))</f>
        <v/>
      </c>
    </row>
    <row r="411" customFormat="false" ht="15" hidden="false" customHeight="false" outlineLevel="0" collapsed="false">
      <c r="A411" s="15"/>
      <c r="B411" s="16"/>
      <c r="C411" s="15"/>
      <c r="D411" s="15"/>
      <c r="E411" s="15"/>
      <c r="F411" s="15"/>
      <c r="G411" s="15"/>
      <c r="H411" s="17" t="str">
        <f aca="false">IF(E411="","",IF(F411="","check type",IF(IFERROR(INDEX(Codes!$B$3:$B$14,MATCH(F411,Codes!$A$3:$A$14,0)),0)=E411,"OK","points/type mismatch")))</f>
        <v/>
      </c>
    </row>
    <row r="412" customFormat="false" ht="15" hidden="false" customHeight="false" outlineLevel="0" collapsed="false">
      <c r="A412" s="15"/>
      <c r="B412" s="16"/>
      <c r="C412" s="15"/>
      <c r="D412" s="15"/>
      <c r="E412" s="15"/>
      <c r="F412" s="15"/>
      <c r="G412" s="15"/>
      <c r="H412" s="17" t="str">
        <f aca="false">IF(E412="","",IF(F412="","check type",IF(IFERROR(INDEX(Codes!$B$3:$B$14,MATCH(F412,Codes!$A$3:$A$14,0)),0)=E412,"OK","points/type mismatch")))</f>
        <v/>
      </c>
    </row>
    <row r="413" customFormat="false" ht="15" hidden="false" customHeight="false" outlineLevel="0" collapsed="false">
      <c r="A413" s="15"/>
      <c r="B413" s="16"/>
      <c r="C413" s="15"/>
      <c r="D413" s="15"/>
      <c r="E413" s="15"/>
      <c r="F413" s="15"/>
      <c r="G413" s="15"/>
      <c r="H413" s="17" t="str">
        <f aca="false">IF(E413="","",IF(F413="","check type",IF(IFERROR(INDEX(Codes!$B$3:$B$14,MATCH(F413,Codes!$A$3:$A$14,0)),0)=E413,"OK","points/type mismatch")))</f>
        <v/>
      </c>
    </row>
    <row r="414" customFormat="false" ht="15" hidden="false" customHeight="false" outlineLevel="0" collapsed="false">
      <c r="A414" s="15"/>
      <c r="B414" s="16"/>
      <c r="C414" s="15"/>
      <c r="D414" s="15"/>
      <c r="E414" s="15"/>
      <c r="F414" s="15"/>
      <c r="G414" s="15"/>
      <c r="H414" s="17" t="str">
        <f aca="false">IF(E414="","",IF(F414="","check type",IF(IFERROR(INDEX(Codes!$B$3:$B$14,MATCH(F414,Codes!$A$3:$A$14,0)),0)=E414,"OK","points/type mismatch")))</f>
        <v/>
      </c>
    </row>
    <row r="415" customFormat="false" ht="15" hidden="false" customHeight="false" outlineLevel="0" collapsed="false">
      <c r="A415" s="15"/>
      <c r="B415" s="16"/>
      <c r="C415" s="15"/>
      <c r="D415" s="15"/>
      <c r="E415" s="15"/>
      <c r="F415" s="15"/>
      <c r="G415" s="15"/>
      <c r="H415" s="17" t="str">
        <f aca="false">IF(E415="","",IF(F415="","check type",IF(IFERROR(INDEX(Codes!$B$3:$B$14,MATCH(F415,Codes!$A$3:$A$14,0)),0)=E415,"OK","points/type mismatch")))</f>
        <v/>
      </c>
    </row>
    <row r="416" customFormat="false" ht="15" hidden="false" customHeight="false" outlineLevel="0" collapsed="false">
      <c r="A416" s="15"/>
      <c r="B416" s="16"/>
      <c r="C416" s="15"/>
      <c r="D416" s="15"/>
      <c r="E416" s="15"/>
      <c r="F416" s="15"/>
      <c r="G416" s="15"/>
      <c r="H416" s="17" t="str">
        <f aca="false">IF(E416="","",IF(F416="","check type",IF(IFERROR(INDEX(Codes!$B$3:$B$14,MATCH(F416,Codes!$A$3:$A$14,0)),0)=E416,"OK","points/type mismatch")))</f>
        <v/>
      </c>
    </row>
    <row r="417" customFormat="false" ht="15" hidden="false" customHeight="false" outlineLevel="0" collapsed="false">
      <c r="A417" s="15"/>
      <c r="B417" s="16"/>
      <c r="C417" s="15"/>
      <c r="D417" s="15"/>
      <c r="E417" s="15"/>
      <c r="F417" s="15"/>
      <c r="G417" s="15"/>
      <c r="H417" s="17" t="str">
        <f aca="false">IF(E417="","",IF(F417="","check type",IF(IFERROR(INDEX(Codes!$B$3:$B$14,MATCH(F417,Codes!$A$3:$A$14,0)),0)=E417,"OK","points/type mismatch")))</f>
        <v/>
      </c>
    </row>
    <row r="418" customFormat="false" ht="15" hidden="false" customHeight="false" outlineLevel="0" collapsed="false">
      <c r="A418" s="15"/>
      <c r="B418" s="16"/>
      <c r="C418" s="15"/>
      <c r="D418" s="15"/>
      <c r="E418" s="15"/>
      <c r="F418" s="15"/>
      <c r="G418" s="15"/>
      <c r="H418" s="17" t="str">
        <f aca="false">IF(E418="","",IF(F418="","check type",IF(IFERROR(INDEX(Codes!$B$3:$B$14,MATCH(F418,Codes!$A$3:$A$14,0)),0)=E418,"OK","points/type mismatch")))</f>
        <v/>
      </c>
    </row>
    <row r="419" customFormat="false" ht="15" hidden="false" customHeight="false" outlineLevel="0" collapsed="false">
      <c r="A419" s="15"/>
      <c r="B419" s="16"/>
      <c r="C419" s="15"/>
      <c r="D419" s="15"/>
      <c r="E419" s="15"/>
      <c r="F419" s="15"/>
      <c r="G419" s="15"/>
      <c r="H419" s="17" t="str">
        <f aca="false">IF(E419="","",IF(F419="","check type",IF(IFERROR(INDEX(Codes!$B$3:$B$14,MATCH(F419,Codes!$A$3:$A$14,0)),0)=E419,"OK","points/type mismatch")))</f>
        <v/>
      </c>
    </row>
    <row r="420" customFormat="false" ht="15" hidden="false" customHeight="false" outlineLevel="0" collapsed="false">
      <c r="A420" s="15"/>
      <c r="B420" s="16"/>
      <c r="C420" s="15"/>
      <c r="D420" s="15"/>
      <c r="E420" s="15"/>
      <c r="F420" s="15"/>
      <c r="G420" s="15"/>
      <c r="H420" s="17" t="str">
        <f aca="false">IF(E420="","",IF(F420="","check type",IF(IFERROR(INDEX(Codes!$B$3:$B$14,MATCH(F420,Codes!$A$3:$A$14,0)),0)=E420,"OK","points/type mismatch")))</f>
        <v/>
      </c>
    </row>
    <row r="421" customFormat="false" ht="15" hidden="false" customHeight="false" outlineLevel="0" collapsed="false">
      <c r="A421" s="15"/>
      <c r="B421" s="16"/>
      <c r="C421" s="15"/>
      <c r="D421" s="15"/>
      <c r="E421" s="15"/>
      <c r="F421" s="15"/>
      <c r="G421" s="15"/>
      <c r="H421" s="17" t="str">
        <f aca="false">IF(E421="","",IF(F421="","check type",IF(IFERROR(INDEX(Codes!$B$3:$B$14,MATCH(F421,Codes!$A$3:$A$14,0)),0)=E421,"OK","points/type mismatch")))</f>
        <v/>
      </c>
    </row>
    <row r="422" customFormat="false" ht="15" hidden="false" customHeight="false" outlineLevel="0" collapsed="false">
      <c r="A422" s="15"/>
      <c r="B422" s="16"/>
      <c r="C422" s="15"/>
      <c r="D422" s="15"/>
      <c r="E422" s="15"/>
      <c r="F422" s="15"/>
      <c r="G422" s="15"/>
      <c r="H422" s="17" t="str">
        <f aca="false">IF(E422="","",IF(F422="","check type",IF(IFERROR(INDEX(Codes!$B$3:$B$14,MATCH(F422,Codes!$A$3:$A$14,0)),0)=E422,"OK","points/type mismatch")))</f>
        <v/>
      </c>
    </row>
    <row r="423" customFormat="false" ht="15" hidden="false" customHeight="false" outlineLevel="0" collapsed="false">
      <c r="A423" s="15"/>
      <c r="B423" s="16"/>
      <c r="C423" s="15"/>
      <c r="D423" s="15"/>
      <c r="E423" s="15"/>
      <c r="F423" s="15"/>
      <c r="G423" s="15"/>
      <c r="H423" s="17" t="str">
        <f aca="false">IF(E423="","",IF(F423="","check type",IF(IFERROR(INDEX(Codes!$B$3:$B$14,MATCH(F423,Codes!$A$3:$A$14,0)),0)=E423,"OK","points/type mismatch")))</f>
        <v/>
      </c>
    </row>
    <row r="424" customFormat="false" ht="15" hidden="false" customHeight="false" outlineLevel="0" collapsed="false">
      <c r="A424" s="15"/>
      <c r="B424" s="16"/>
      <c r="C424" s="15"/>
      <c r="D424" s="15"/>
      <c r="E424" s="15"/>
      <c r="F424" s="15"/>
      <c r="G424" s="15"/>
      <c r="H424" s="17" t="str">
        <f aca="false">IF(E424="","",IF(F424="","check type",IF(IFERROR(INDEX(Codes!$B$3:$B$14,MATCH(F424,Codes!$A$3:$A$14,0)),0)=E424,"OK","points/type mismatch")))</f>
        <v/>
      </c>
    </row>
    <row r="425" customFormat="false" ht="15" hidden="false" customHeight="false" outlineLevel="0" collapsed="false">
      <c r="A425" s="15"/>
      <c r="B425" s="16"/>
      <c r="C425" s="15"/>
      <c r="D425" s="15"/>
      <c r="E425" s="15"/>
      <c r="F425" s="15"/>
      <c r="G425" s="15"/>
      <c r="H425" s="17" t="str">
        <f aca="false">IF(E425="","",IF(F425="","check type",IF(IFERROR(INDEX(Codes!$B$3:$B$14,MATCH(F425,Codes!$A$3:$A$14,0)),0)=E425,"OK","points/type mismatch")))</f>
        <v/>
      </c>
    </row>
    <row r="426" customFormat="false" ht="15" hidden="false" customHeight="false" outlineLevel="0" collapsed="false">
      <c r="A426" s="15"/>
      <c r="B426" s="16"/>
      <c r="C426" s="15"/>
      <c r="D426" s="15"/>
      <c r="E426" s="15"/>
      <c r="F426" s="15"/>
      <c r="G426" s="15"/>
      <c r="H426" s="17" t="str">
        <f aca="false">IF(E426="","",IF(F426="","check type",IF(IFERROR(INDEX(Codes!$B$3:$B$14,MATCH(F426,Codes!$A$3:$A$14,0)),0)=E426,"OK","points/type mismatch")))</f>
        <v/>
      </c>
    </row>
    <row r="427" customFormat="false" ht="15" hidden="false" customHeight="false" outlineLevel="0" collapsed="false">
      <c r="A427" s="15"/>
      <c r="B427" s="16"/>
      <c r="C427" s="15"/>
      <c r="D427" s="15"/>
      <c r="E427" s="15"/>
      <c r="F427" s="15"/>
      <c r="G427" s="15"/>
      <c r="H427" s="17" t="str">
        <f aca="false">IF(E427="","",IF(F427="","check type",IF(IFERROR(INDEX(Codes!$B$3:$B$14,MATCH(F427,Codes!$A$3:$A$14,0)),0)=E427,"OK","points/type mismatch")))</f>
        <v/>
      </c>
    </row>
    <row r="428" customFormat="false" ht="15" hidden="false" customHeight="false" outlineLevel="0" collapsed="false">
      <c r="A428" s="15"/>
      <c r="B428" s="16"/>
      <c r="C428" s="15"/>
      <c r="D428" s="15"/>
      <c r="E428" s="15"/>
      <c r="F428" s="15"/>
      <c r="G428" s="15"/>
      <c r="H428" s="17" t="str">
        <f aca="false">IF(E428="","",IF(F428="","check type",IF(IFERROR(INDEX(Codes!$B$3:$B$14,MATCH(F428,Codes!$A$3:$A$14,0)),0)=E428,"OK","points/type mismatch")))</f>
        <v/>
      </c>
    </row>
    <row r="429" customFormat="false" ht="15" hidden="false" customHeight="false" outlineLevel="0" collapsed="false">
      <c r="A429" s="15"/>
      <c r="B429" s="16"/>
      <c r="C429" s="15"/>
      <c r="D429" s="15"/>
      <c r="E429" s="15"/>
      <c r="F429" s="15"/>
      <c r="G429" s="15"/>
      <c r="H429" s="17" t="str">
        <f aca="false">IF(E429="","",IF(F429="","check type",IF(IFERROR(INDEX(Codes!$B$3:$B$14,MATCH(F429,Codes!$A$3:$A$14,0)),0)=E429,"OK","points/type mismatch")))</f>
        <v/>
      </c>
    </row>
    <row r="430" customFormat="false" ht="15" hidden="false" customHeight="false" outlineLevel="0" collapsed="false">
      <c r="A430" s="15"/>
      <c r="B430" s="16"/>
      <c r="C430" s="15"/>
      <c r="D430" s="15"/>
      <c r="E430" s="15"/>
      <c r="F430" s="15"/>
      <c r="G430" s="15"/>
      <c r="H430" s="17" t="str">
        <f aca="false">IF(E430="","",IF(F430="","check type",IF(IFERROR(INDEX(Codes!$B$3:$B$14,MATCH(F430,Codes!$A$3:$A$14,0)),0)=E430,"OK","points/type mismatch")))</f>
        <v/>
      </c>
    </row>
    <row r="431" customFormat="false" ht="15" hidden="false" customHeight="false" outlineLevel="0" collapsed="false">
      <c r="A431" s="15"/>
      <c r="B431" s="16"/>
      <c r="C431" s="15"/>
      <c r="D431" s="15"/>
      <c r="E431" s="15"/>
      <c r="F431" s="15"/>
      <c r="G431" s="15"/>
      <c r="H431" s="17" t="str">
        <f aca="false">IF(E431="","",IF(F431="","check type",IF(IFERROR(INDEX(Codes!$B$3:$B$14,MATCH(F431,Codes!$A$3:$A$14,0)),0)=E431,"OK","points/type mismatch")))</f>
        <v/>
      </c>
    </row>
    <row r="432" customFormat="false" ht="15" hidden="false" customHeight="false" outlineLevel="0" collapsed="false">
      <c r="A432" s="15"/>
      <c r="B432" s="16"/>
      <c r="C432" s="15"/>
      <c r="D432" s="15"/>
      <c r="E432" s="15"/>
      <c r="F432" s="15"/>
      <c r="G432" s="15"/>
      <c r="H432" s="17" t="str">
        <f aca="false">IF(E432="","",IF(F432="","check type",IF(IFERROR(INDEX(Codes!$B$3:$B$14,MATCH(F432,Codes!$A$3:$A$14,0)),0)=E432,"OK","points/type mismatch")))</f>
        <v/>
      </c>
    </row>
    <row r="433" customFormat="false" ht="15" hidden="false" customHeight="false" outlineLevel="0" collapsed="false">
      <c r="A433" s="15"/>
      <c r="B433" s="16"/>
      <c r="C433" s="15"/>
      <c r="D433" s="15"/>
      <c r="E433" s="15"/>
      <c r="F433" s="15"/>
      <c r="G433" s="15"/>
      <c r="H433" s="17" t="str">
        <f aca="false">IF(E433="","",IF(F433="","check type",IF(IFERROR(INDEX(Codes!$B$3:$B$14,MATCH(F433,Codes!$A$3:$A$14,0)),0)=E433,"OK","points/type mismatch")))</f>
        <v/>
      </c>
    </row>
    <row r="434" customFormat="false" ht="15" hidden="false" customHeight="false" outlineLevel="0" collapsed="false">
      <c r="A434" s="15"/>
      <c r="B434" s="16"/>
      <c r="C434" s="15"/>
      <c r="D434" s="15"/>
      <c r="E434" s="15"/>
      <c r="F434" s="15"/>
      <c r="G434" s="15"/>
      <c r="H434" s="17" t="str">
        <f aca="false">IF(E434="","",IF(F434="","check type",IF(IFERROR(INDEX(Codes!$B$3:$B$14,MATCH(F434,Codes!$A$3:$A$14,0)),0)=E434,"OK","points/type mismatch")))</f>
        <v/>
      </c>
    </row>
    <row r="435" customFormat="false" ht="15" hidden="false" customHeight="false" outlineLevel="0" collapsed="false">
      <c r="A435" s="15"/>
      <c r="B435" s="16"/>
      <c r="C435" s="15"/>
      <c r="D435" s="15"/>
      <c r="E435" s="15"/>
      <c r="F435" s="15"/>
      <c r="G435" s="15"/>
      <c r="H435" s="17" t="str">
        <f aca="false">IF(E435="","",IF(F435="","check type",IF(IFERROR(INDEX(Codes!$B$3:$B$14,MATCH(F435,Codes!$A$3:$A$14,0)),0)=E435,"OK","points/type mismatch")))</f>
        <v/>
      </c>
    </row>
    <row r="436" customFormat="false" ht="15" hidden="false" customHeight="false" outlineLevel="0" collapsed="false">
      <c r="A436" s="15"/>
      <c r="B436" s="16"/>
      <c r="C436" s="15"/>
      <c r="D436" s="15"/>
      <c r="E436" s="15"/>
      <c r="F436" s="15"/>
      <c r="G436" s="15"/>
      <c r="H436" s="17" t="str">
        <f aca="false">IF(E436="","",IF(F436="","check type",IF(IFERROR(INDEX(Codes!$B$3:$B$14,MATCH(F436,Codes!$A$3:$A$14,0)),0)=E436,"OK","points/type mismatch")))</f>
        <v/>
      </c>
    </row>
    <row r="437" customFormat="false" ht="15" hidden="false" customHeight="false" outlineLevel="0" collapsed="false">
      <c r="A437" s="15"/>
      <c r="B437" s="16"/>
      <c r="C437" s="15"/>
      <c r="D437" s="15"/>
      <c r="E437" s="15"/>
      <c r="F437" s="15"/>
      <c r="G437" s="15"/>
      <c r="H437" s="17" t="str">
        <f aca="false">IF(E437="","",IF(F437="","check type",IF(IFERROR(INDEX(Codes!$B$3:$B$14,MATCH(F437,Codes!$A$3:$A$14,0)),0)=E437,"OK","points/type mismatch")))</f>
        <v/>
      </c>
    </row>
    <row r="438" customFormat="false" ht="15" hidden="false" customHeight="false" outlineLevel="0" collapsed="false">
      <c r="A438" s="15"/>
      <c r="B438" s="16"/>
      <c r="C438" s="15"/>
      <c r="D438" s="15"/>
      <c r="E438" s="15"/>
      <c r="F438" s="15"/>
      <c r="G438" s="15"/>
      <c r="H438" s="17" t="str">
        <f aca="false">IF(E438="","",IF(F438="","check type",IF(IFERROR(INDEX(Codes!$B$3:$B$14,MATCH(F438,Codes!$A$3:$A$14,0)),0)=E438,"OK","points/type mismatch")))</f>
        <v/>
      </c>
    </row>
    <row r="439" customFormat="false" ht="15" hidden="false" customHeight="false" outlineLevel="0" collapsed="false">
      <c r="A439" s="15"/>
      <c r="B439" s="16"/>
      <c r="C439" s="15"/>
      <c r="D439" s="15"/>
      <c r="E439" s="15"/>
      <c r="F439" s="15"/>
      <c r="G439" s="15"/>
      <c r="H439" s="17" t="str">
        <f aca="false">IF(E439="","",IF(F439="","check type",IF(IFERROR(INDEX(Codes!$B$3:$B$14,MATCH(F439,Codes!$A$3:$A$14,0)),0)=E439,"OK","points/type mismatch")))</f>
        <v/>
      </c>
    </row>
    <row r="440" customFormat="false" ht="15" hidden="false" customHeight="false" outlineLevel="0" collapsed="false">
      <c r="A440" s="15"/>
      <c r="B440" s="16"/>
      <c r="C440" s="15"/>
      <c r="D440" s="15"/>
      <c r="E440" s="15"/>
      <c r="F440" s="15"/>
      <c r="G440" s="15"/>
      <c r="H440" s="17" t="str">
        <f aca="false">IF(E440="","",IF(F440="","check type",IF(IFERROR(INDEX(Codes!$B$3:$B$14,MATCH(F440,Codes!$A$3:$A$14,0)),0)=E440,"OK","points/type mismatch")))</f>
        <v/>
      </c>
    </row>
    <row r="441" customFormat="false" ht="15" hidden="false" customHeight="false" outlineLevel="0" collapsed="false">
      <c r="A441" s="15"/>
      <c r="B441" s="16"/>
      <c r="C441" s="15"/>
      <c r="D441" s="15"/>
      <c r="E441" s="15"/>
      <c r="F441" s="15"/>
      <c r="G441" s="15"/>
      <c r="H441" s="17" t="str">
        <f aca="false">IF(E441="","",IF(F441="","check type",IF(IFERROR(INDEX(Codes!$B$3:$B$14,MATCH(F441,Codes!$A$3:$A$14,0)),0)=E441,"OK","points/type mismatch")))</f>
        <v/>
      </c>
    </row>
    <row r="442" customFormat="false" ht="15" hidden="false" customHeight="false" outlineLevel="0" collapsed="false">
      <c r="A442" s="15"/>
      <c r="B442" s="16"/>
      <c r="C442" s="15"/>
      <c r="D442" s="15"/>
      <c r="E442" s="15"/>
      <c r="F442" s="15"/>
      <c r="G442" s="15"/>
      <c r="H442" s="17" t="str">
        <f aca="false">IF(E442="","",IF(F442="","check type",IF(IFERROR(INDEX(Codes!$B$3:$B$14,MATCH(F442,Codes!$A$3:$A$14,0)),0)=E442,"OK","points/type mismatch")))</f>
        <v/>
      </c>
    </row>
    <row r="443" customFormat="false" ht="15" hidden="false" customHeight="false" outlineLevel="0" collapsed="false">
      <c r="A443" s="15"/>
      <c r="B443" s="16"/>
      <c r="C443" s="15"/>
      <c r="D443" s="15"/>
      <c r="E443" s="15"/>
      <c r="F443" s="15"/>
      <c r="G443" s="15"/>
      <c r="H443" s="17" t="str">
        <f aca="false">IF(E443="","",IF(F443="","check type",IF(IFERROR(INDEX(Codes!$B$3:$B$14,MATCH(F443,Codes!$A$3:$A$14,0)),0)=E443,"OK","points/type mismatch")))</f>
        <v/>
      </c>
    </row>
    <row r="444" customFormat="false" ht="15" hidden="false" customHeight="false" outlineLevel="0" collapsed="false">
      <c r="A444" s="15"/>
      <c r="B444" s="16"/>
      <c r="C444" s="15"/>
      <c r="D444" s="15"/>
      <c r="E444" s="15"/>
      <c r="F444" s="15"/>
      <c r="G444" s="15"/>
      <c r="H444" s="17" t="str">
        <f aca="false">IF(E444="","",IF(F444="","check type",IF(IFERROR(INDEX(Codes!$B$3:$B$14,MATCH(F444,Codes!$A$3:$A$14,0)),0)=E444,"OK","points/type mismatch")))</f>
        <v/>
      </c>
    </row>
    <row r="445" customFormat="false" ht="15" hidden="false" customHeight="false" outlineLevel="0" collapsed="false">
      <c r="A445" s="15"/>
      <c r="B445" s="16"/>
      <c r="C445" s="15"/>
      <c r="D445" s="15"/>
      <c r="E445" s="15"/>
      <c r="F445" s="15"/>
      <c r="G445" s="15"/>
      <c r="H445" s="17" t="str">
        <f aca="false">IF(E445="","",IF(F445="","check type",IF(IFERROR(INDEX(Codes!$B$3:$B$14,MATCH(F445,Codes!$A$3:$A$14,0)),0)=E445,"OK","points/type mismatch")))</f>
        <v/>
      </c>
    </row>
    <row r="446" customFormat="false" ht="15" hidden="false" customHeight="false" outlineLevel="0" collapsed="false">
      <c r="A446" s="15"/>
      <c r="B446" s="16"/>
      <c r="C446" s="15"/>
      <c r="D446" s="15"/>
      <c r="E446" s="15"/>
      <c r="F446" s="15"/>
      <c r="G446" s="15"/>
      <c r="H446" s="17" t="str">
        <f aca="false">IF(E446="","",IF(F446="","check type",IF(IFERROR(INDEX(Codes!$B$3:$B$14,MATCH(F446,Codes!$A$3:$A$14,0)),0)=E446,"OK","points/type mismatch")))</f>
        <v/>
      </c>
    </row>
    <row r="447" customFormat="false" ht="15" hidden="false" customHeight="false" outlineLevel="0" collapsed="false">
      <c r="A447" s="15"/>
      <c r="B447" s="16"/>
      <c r="C447" s="15"/>
      <c r="D447" s="15"/>
      <c r="E447" s="15"/>
      <c r="F447" s="15"/>
      <c r="G447" s="15"/>
      <c r="H447" s="17" t="str">
        <f aca="false">IF(E447="","",IF(F447="","check type",IF(IFERROR(INDEX(Codes!$B$3:$B$14,MATCH(F447,Codes!$A$3:$A$14,0)),0)=E447,"OK","points/type mismatch")))</f>
        <v/>
      </c>
    </row>
    <row r="448" customFormat="false" ht="15" hidden="false" customHeight="false" outlineLevel="0" collapsed="false">
      <c r="A448" s="15"/>
      <c r="B448" s="16"/>
      <c r="C448" s="15"/>
      <c r="D448" s="15"/>
      <c r="E448" s="15"/>
      <c r="F448" s="15"/>
      <c r="G448" s="15"/>
      <c r="H448" s="17" t="str">
        <f aca="false">IF(E448="","",IF(F448="","check type",IF(IFERROR(INDEX(Codes!$B$3:$B$14,MATCH(F448,Codes!$A$3:$A$14,0)),0)=E448,"OK","points/type mismatch")))</f>
        <v/>
      </c>
    </row>
    <row r="449" customFormat="false" ht="15" hidden="false" customHeight="false" outlineLevel="0" collapsed="false">
      <c r="A449" s="15"/>
      <c r="B449" s="16"/>
      <c r="C449" s="15"/>
      <c r="D449" s="15"/>
      <c r="E449" s="15"/>
      <c r="F449" s="15"/>
      <c r="G449" s="15"/>
      <c r="H449" s="17" t="str">
        <f aca="false">IF(E449="","",IF(F449="","check type",IF(IFERROR(INDEX(Codes!$B$3:$B$14,MATCH(F449,Codes!$A$3:$A$14,0)),0)=E449,"OK","points/type mismatch")))</f>
        <v/>
      </c>
    </row>
    <row r="450" customFormat="false" ht="15" hidden="false" customHeight="false" outlineLevel="0" collapsed="false">
      <c r="A450" s="15"/>
      <c r="B450" s="16"/>
      <c r="C450" s="15"/>
      <c r="D450" s="15"/>
      <c r="E450" s="15"/>
      <c r="F450" s="15"/>
      <c r="G450" s="15"/>
      <c r="H450" s="17" t="str">
        <f aca="false">IF(E450="","",IF(F450="","check type",IF(IFERROR(INDEX(Codes!$B$3:$B$14,MATCH(F450,Codes!$A$3:$A$14,0)),0)=E450,"OK","points/type mismatch")))</f>
        <v/>
      </c>
    </row>
    <row r="451" customFormat="false" ht="15" hidden="false" customHeight="false" outlineLevel="0" collapsed="false">
      <c r="A451" s="15"/>
      <c r="B451" s="16"/>
      <c r="C451" s="15"/>
      <c r="D451" s="15"/>
      <c r="E451" s="15"/>
      <c r="F451" s="15"/>
      <c r="G451" s="15"/>
      <c r="H451" s="17" t="str">
        <f aca="false">IF(E451="","",IF(F451="","check type",IF(IFERROR(INDEX(Codes!$B$3:$B$14,MATCH(F451,Codes!$A$3:$A$14,0)),0)=E451,"OK","points/type mismatch")))</f>
        <v/>
      </c>
    </row>
    <row r="452" customFormat="false" ht="15" hidden="false" customHeight="false" outlineLevel="0" collapsed="false">
      <c r="A452" s="15"/>
      <c r="B452" s="16"/>
      <c r="C452" s="15"/>
      <c r="D452" s="15"/>
      <c r="E452" s="15"/>
      <c r="F452" s="15"/>
      <c r="G452" s="15"/>
      <c r="H452" s="17" t="str">
        <f aca="false">IF(E452="","",IF(F452="","check type",IF(IFERROR(INDEX(Codes!$B$3:$B$14,MATCH(F452,Codes!$A$3:$A$14,0)),0)=E452,"OK","points/type mismatch")))</f>
        <v/>
      </c>
    </row>
    <row r="453" customFormat="false" ht="15" hidden="false" customHeight="false" outlineLevel="0" collapsed="false">
      <c r="A453" s="15"/>
      <c r="B453" s="16"/>
      <c r="C453" s="15"/>
      <c r="D453" s="15"/>
      <c r="E453" s="15"/>
      <c r="F453" s="15"/>
      <c r="G453" s="15"/>
      <c r="H453" s="17" t="str">
        <f aca="false">IF(E453="","",IF(F453="","check type",IF(IFERROR(INDEX(Codes!$B$3:$B$14,MATCH(F453,Codes!$A$3:$A$14,0)),0)=E453,"OK","points/type mismatch")))</f>
        <v/>
      </c>
    </row>
    <row r="454" customFormat="false" ht="15" hidden="false" customHeight="false" outlineLevel="0" collapsed="false">
      <c r="A454" s="15"/>
      <c r="B454" s="16"/>
      <c r="C454" s="15"/>
      <c r="D454" s="15"/>
      <c r="E454" s="15"/>
      <c r="F454" s="15"/>
      <c r="G454" s="15"/>
      <c r="H454" s="17" t="str">
        <f aca="false">IF(E454="","",IF(F454="","check type",IF(IFERROR(INDEX(Codes!$B$3:$B$14,MATCH(F454,Codes!$A$3:$A$14,0)),0)=E454,"OK","points/type mismatch")))</f>
        <v/>
      </c>
    </row>
    <row r="455" customFormat="false" ht="15" hidden="false" customHeight="false" outlineLevel="0" collapsed="false">
      <c r="A455" s="15"/>
      <c r="B455" s="16"/>
      <c r="C455" s="15"/>
      <c r="D455" s="15"/>
      <c r="E455" s="15"/>
      <c r="F455" s="15"/>
      <c r="G455" s="15"/>
      <c r="H455" s="17" t="str">
        <f aca="false">IF(E455="","",IF(F455="","check type",IF(IFERROR(INDEX(Codes!$B$3:$B$14,MATCH(F455,Codes!$A$3:$A$14,0)),0)=E455,"OK","points/type mismatch")))</f>
        <v/>
      </c>
    </row>
    <row r="456" customFormat="false" ht="15" hidden="false" customHeight="false" outlineLevel="0" collapsed="false">
      <c r="A456" s="15"/>
      <c r="B456" s="16"/>
      <c r="C456" s="15"/>
      <c r="D456" s="15"/>
      <c r="E456" s="15"/>
      <c r="F456" s="15"/>
      <c r="G456" s="15"/>
      <c r="H456" s="17" t="str">
        <f aca="false">IF(E456="","",IF(F456="","check type",IF(IFERROR(INDEX(Codes!$B$3:$B$14,MATCH(F456,Codes!$A$3:$A$14,0)),0)=E456,"OK","points/type mismatch")))</f>
        <v/>
      </c>
    </row>
    <row r="457" customFormat="false" ht="15" hidden="false" customHeight="false" outlineLevel="0" collapsed="false">
      <c r="A457" s="15"/>
      <c r="B457" s="16"/>
      <c r="C457" s="15"/>
      <c r="D457" s="15"/>
      <c r="E457" s="15"/>
      <c r="F457" s="15"/>
      <c r="G457" s="15"/>
      <c r="H457" s="17" t="str">
        <f aca="false">IF(E457="","",IF(F457="","check type",IF(IFERROR(INDEX(Codes!$B$3:$B$14,MATCH(F457,Codes!$A$3:$A$14,0)),0)=E457,"OK","points/type mismatch")))</f>
        <v/>
      </c>
    </row>
    <row r="458" customFormat="false" ht="15" hidden="false" customHeight="false" outlineLevel="0" collapsed="false">
      <c r="A458" s="15"/>
      <c r="B458" s="16"/>
      <c r="C458" s="15"/>
      <c r="D458" s="15"/>
      <c r="E458" s="15"/>
      <c r="F458" s="15"/>
      <c r="G458" s="15"/>
      <c r="H458" s="17" t="str">
        <f aca="false">IF(E458="","",IF(F458="","check type",IF(IFERROR(INDEX(Codes!$B$3:$B$14,MATCH(F458,Codes!$A$3:$A$14,0)),0)=E458,"OK","points/type mismatch")))</f>
        <v/>
      </c>
    </row>
    <row r="459" customFormat="false" ht="15" hidden="false" customHeight="false" outlineLevel="0" collapsed="false">
      <c r="A459" s="15"/>
      <c r="B459" s="16"/>
      <c r="C459" s="15"/>
      <c r="D459" s="15"/>
      <c r="E459" s="15"/>
      <c r="F459" s="15"/>
      <c r="G459" s="15"/>
      <c r="H459" s="17" t="str">
        <f aca="false">IF(E459="","",IF(F459="","check type",IF(IFERROR(INDEX(Codes!$B$3:$B$14,MATCH(F459,Codes!$A$3:$A$14,0)),0)=E459,"OK","points/type mismatch")))</f>
        <v/>
      </c>
    </row>
    <row r="460" customFormat="false" ht="15" hidden="false" customHeight="false" outlineLevel="0" collapsed="false">
      <c r="A460" s="15"/>
      <c r="B460" s="16"/>
      <c r="C460" s="15"/>
      <c r="D460" s="15"/>
      <c r="E460" s="15"/>
      <c r="F460" s="15"/>
      <c r="G460" s="15"/>
      <c r="H460" s="17" t="str">
        <f aca="false">IF(E460="","",IF(F460="","check type",IF(IFERROR(INDEX(Codes!$B$3:$B$14,MATCH(F460,Codes!$A$3:$A$14,0)),0)=E460,"OK","points/type mismatch")))</f>
        <v/>
      </c>
    </row>
    <row r="461" customFormat="false" ht="15" hidden="false" customHeight="false" outlineLevel="0" collapsed="false">
      <c r="A461" s="15"/>
      <c r="B461" s="16"/>
      <c r="C461" s="15"/>
      <c r="D461" s="15"/>
      <c r="E461" s="15"/>
      <c r="F461" s="15"/>
      <c r="G461" s="15"/>
      <c r="H461" s="17" t="str">
        <f aca="false">IF(E461="","",IF(F461="","check type",IF(IFERROR(INDEX(Codes!$B$3:$B$14,MATCH(F461,Codes!$A$3:$A$14,0)),0)=E461,"OK","points/type mismatch")))</f>
        <v/>
      </c>
    </row>
    <row r="462" customFormat="false" ht="15" hidden="false" customHeight="false" outlineLevel="0" collapsed="false">
      <c r="A462" s="15"/>
      <c r="B462" s="16"/>
      <c r="C462" s="15"/>
      <c r="D462" s="15"/>
      <c r="E462" s="15"/>
      <c r="F462" s="15"/>
      <c r="G462" s="15"/>
      <c r="H462" s="17" t="str">
        <f aca="false">IF(E462="","",IF(F462="","check type",IF(IFERROR(INDEX(Codes!$B$3:$B$14,MATCH(F462,Codes!$A$3:$A$14,0)),0)=E462,"OK","points/type mismatch")))</f>
        <v/>
      </c>
    </row>
    <row r="463" customFormat="false" ht="15" hidden="false" customHeight="false" outlineLevel="0" collapsed="false">
      <c r="A463" s="15"/>
      <c r="B463" s="16"/>
      <c r="C463" s="15"/>
      <c r="D463" s="15"/>
      <c r="E463" s="15"/>
      <c r="F463" s="15"/>
      <c r="G463" s="15"/>
      <c r="H463" s="17" t="str">
        <f aca="false">IF(E463="","",IF(F463="","check type",IF(IFERROR(INDEX(Codes!$B$3:$B$14,MATCH(F463,Codes!$A$3:$A$14,0)),0)=E463,"OK","points/type mismatch")))</f>
        <v/>
      </c>
    </row>
    <row r="464" customFormat="false" ht="15" hidden="false" customHeight="false" outlineLevel="0" collapsed="false">
      <c r="A464" s="15"/>
      <c r="B464" s="16"/>
      <c r="C464" s="15"/>
      <c r="D464" s="15"/>
      <c r="E464" s="15"/>
      <c r="F464" s="15"/>
      <c r="G464" s="15"/>
      <c r="H464" s="17" t="str">
        <f aca="false">IF(E464="","",IF(F464="","check type",IF(IFERROR(INDEX(Codes!$B$3:$B$14,MATCH(F464,Codes!$A$3:$A$14,0)),0)=E464,"OK","points/type mismatch")))</f>
        <v/>
      </c>
    </row>
    <row r="465" customFormat="false" ht="15" hidden="false" customHeight="false" outlineLevel="0" collapsed="false">
      <c r="A465" s="15"/>
      <c r="B465" s="16"/>
      <c r="C465" s="15"/>
      <c r="D465" s="15"/>
      <c r="E465" s="15"/>
      <c r="F465" s="15"/>
      <c r="G465" s="15"/>
      <c r="H465" s="17" t="str">
        <f aca="false">IF(E465="","",IF(F465="","check type",IF(IFERROR(INDEX(Codes!$B$3:$B$14,MATCH(F465,Codes!$A$3:$A$14,0)),0)=E465,"OK","points/type mismatch")))</f>
        <v/>
      </c>
    </row>
    <row r="466" customFormat="false" ht="15" hidden="false" customHeight="false" outlineLevel="0" collapsed="false">
      <c r="A466" s="15"/>
      <c r="B466" s="16"/>
      <c r="C466" s="15"/>
      <c r="D466" s="15"/>
      <c r="E466" s="15"/>
      <c r="F466" s="15"/>
      <c r="G466" s="15"/>
      <c r="H466" s="17" t="str">
        <f aca="false">IF(E466="","",IF(F466="","check type",IF(IFERROR(INDEX(Codes!$B$3:$B$14,MATCH(F466,Codes!$A$3:$A$14,0)),0)=E466,"OK","points/type mismatch")))</f>
        <v/>
      </c>
    </row>
    <row r="467" customFormat="false" ht="15" hidden="false" customHeight="false" outlineLevel="0" collapsed="false">
      <c r="A467" s="15"/>
      <c r="B467" s="16"/>
      <c r="C467" s="15"/>
      <c r="D467" s="15"/>
      <c r="E467" s="15"/>
      <c r="F467" s="15"/>
      <c r="G467" s="15"/>
      <c r="H467" s="17" t="str">
        <f aca="false">IF(E467="","",IF(F467="","check type",IF(IFERROR(INDEX(Codes!$B$3:$B$14,MATCH(F467,Codes!$A$3:$A$14,0)),0)=E467,"OK","points/type mismatch")))</f>
        <v/>
      </c>
    </row>
    <row r="468" customFormat="false" ht="15" hidden="false" customHeight="false" outlineLevel="0" collapsed="false">
      <c r="A468" s="15"/>
      <c r="B468" s="16"/>
      <c r="C468" s="15"/>
      <c r="D468" s="15"/>
      <c r="E468" s="15"/>
      <c r="F468" s="15"/>
      <c r="G468" s="15"/>
      <c r="H468" s="17" t="str">
        <f aca="false">IF(E468="","",IF(F468="","check type",IF(IFERROR(INDEX(Codes!$B$3:$B$14,MATCH(F468,Codes!$A$3:$A$14,0)),0)=E468,"OK","points/type mismatch")))</f>
        <v/>
      </c>
    </row>
    <row r="469" customFormat="false" ht="15" hidden="false" customHeight="false" outlineLevel="0" collapsed="false">
      <c r="A469" s="15"/>
      <c r="B469" s="16"/>
      <c r="C469" s="15"/>
      <c r="D469" s="15"/>
      <c r="E469" s="15"/>
      <c r="F469" s="15"/>
      <c r="G469" s="15"/>
      <c r="H469" s="17" t="str">
        <f aca="false">IF(E469="","",IF(F469="","check type",IF(IFERROR(INDEX(Codes!$B$3:$B$14,MATCH(F469,Codes!$A$3:$A$14,0)),0)=E469,"OK","points/type mismatch")))</f>
        <v/>
      </c>
    </row>
    <row r="470" customFormat="false" ht="15" hidden="false" customHeight="false" outlineLevel="0" collapsed="false">
      <c r="A470" s="15"/>
      <c r="B470" s="16"/>
      <c r="C470" s="15"/>
      <c r="D470" s="15"/>
      <c r="E470" s="15"/>
      <c r="F470" s="15"/>
      <c r="G470" s="15"/>
      <c r="H470" s="17" t="str">
        <f aca="false">IF(E470="","",IF(F470="","check type",IF(IFERROR(INDEX(Codes!$B$3:$B$14,MATCH(F470,Codes!$A$3:$A$14,0)),0)=E470,"OK","points/type mismatch")))</f>
        <v/>
      </c>
    </row>
    <row r="471" customFormat="false" ht="15" hidden="false" customHeight="false" outlineLevel="0" collapsed="false">
      <c r="A471" s="15"/>
      <c r="B471" s="16"/>
      <c r="C471" s="15"/>
      <c r="D471" s="15"/>
      <c r="E471" s="15"/>
      <c r="F471" s="15"/>
      <c r="G471" s="15"/>
      <c r="H471" s="17" t="str">
        <f aca="false">IF(E471="","",IF(F471="","check type",IF(IFERROR(INDEX(Codes!$B$3:$B$14,MATCH(F471,Codes!$A$3:$A$14,0)),0)=E471,"OK","points/type mismatch")))</f>
        <v/>
      </c>
    </row>
    <row r="472" customFormat="false" ht="15" hidden="false" customHeight="false" outlineLevel="0" collapsed="false">
      <c r="A472" s="15"/>
      <c r="B472" s="16"/>
      <c r="C472" s="15"/>
      <c r="D472" s="15"/>
      <c r="E472" s="15"/>
      <c r="F472" s="15"/>
      <c r="G472" s="15"/>
      <c r="H472" s="17" t="str">
        <f aca="false">IF(E472="","",IF(F472="","check type",IF(IFERROR(INDEX(Codes!$B$3:$B$14,MATCH(F472,Codes!$A$3:$A$14,0)),0)=E472,"OK","points/type mismatch")))</f>
        <v/>
      </c>
    </row>
    <row r="473" customFormat="false" ht="15" hidden="false" customHeight="false" outlineLevel="0" collapsed="false">
      <c r="A473" s="15"/>
      <c r="B473" s="16"/>
      <c r="C473" s="15"/>
      <c r="D473" s="15"/>
      <c r="E473" s="15"/>
      <c r="F473" s="15"/>
      <c r="G473" s="15"/>
      <c r="H473" s="17" t="str">
        <f aca="false">IF(E473="","",IF(F473="","check type",IF(IFERROR(INDEX(Codes!$B$3:$B$14,MATCH(F473,Codes!$A$3:$A$14,0)),0)=E473,"OK","points/type mismatch")))</f>
        <v/>
      </c>
    </row>
    <row r="474" customFormat="false" ht="15" hidden="false" customHeight="false" outlineLevel="0" collapsed="false">
      <c r="A474" s="15"/>
      <c r="B474" s="16"/>
      <c r="C474" s="15"/>
      <c r="D474" s="15"/>
      <c r="E474" s="15"/>
      <c r="F474" s="15"/>
      <c r="G474" s="15"/>
      <c r="H474" s="17" t="str">
        <f aca="false">IF(E474="","",IF(F474="","check type",IF(IFERROR(INDEX(Codes!$B$3:$B$14,MATCH(F474,Codes!$A$3:$A$14,0)),0)=E474,"OK","points/type mismatch")))</f>
        <v/>
      </c>
    </row>
    <row r="475" customFormat="false" ht="15" hidden="false" customHeight="false" outlineLevel="0" collapsed="false">
      <c r="A475" s="15"/>
      <c r="B475" s="16"/>
      <c r="C475" s="15"/>
      <c r="D475" s="15"/>
      <c r="E475" s="15"/>
      <c r="F475" s="15"/>
      <c r="G475" s="15"/>
      <c r="H475" s="17" t="str">
        <f aca="false">IF(E475="","",IF(F475="","check type",IF(IFERROR(INDEX(Codes!$B$3:$B$14,MATCH(F475,Codes!$A$3:$A$14,0)),0)=E475,"OK","points/type mismatch")))</f>
        <v/>
      </c>
    </row>
    <row r="476" customFormat="false" ht="15" hidden="false" customHeight="false" outlineLevel="0" collapsed="false">
      <c r="A476" s="15"/>
      <c r="B476" s="16"/>
      <c r="C476" s="15"/>
      <c r="D476" s="15"/>
      <c r="E476" s="15"/>
      <c r="F476" s="15"/>
      <c r="G476" s="15"/>
      <c r="H476" s="17" t="str">
        <f aca="false">IF(E476="","",IF(F476="","check type",IF(IFERROR(INDEX(Codes!$B$3:$B$14,MATCH(F476,Codes!$A$3:$A$14,0)),0)=E476,"OK","points/type mismatch")))</f>
        <v/>
      </c>
    </row>
    <row r="477" customFormat="false" ht="15" hidden="false" customHeight="false" outlineLevel="0" collapsed="false">
      <c r="A477" s="15"/>
      <c r="B477" s="16"/>
      <c r="C477" s="15"/>
      <c r="D477" s="15"/>
      <c r="E477" s="15"/>
      <c r="F477" s="15"/>
      <c r="G477" s="15"/>
      <c r="H477" s="17" t="str">
        <f aca="false">IF(E477="","",IF(F477="","check type",IF(IFERROR(INDEX(Codes!$B$3:$B$14,MATCH(F477,Codes!$A$3:$A$14,0)),0)=E477,"OK","points/type mismatch")))</f>
        <v/>
      </c>
    </row>
    <row r="478" customFormat="false" ht="15" hidden="false" customHeight="false" outlineLevel="0" collapsed="false">
      <c r="A478" s="15"/>
      <c r="B478" s="16"/>
      <c r="C478" s="15"/>
      <c r="D478" s="15"/>
      <c r="E478" s="15"/>
      <c r="F478" s="15"/>
      <c r="G478" s="15"/>
      <c r="H478" s="17" t="str">
        <f aca="false">IF(E478="","",IF(F478="","check type",IF(IFERROR(INDEX(Codes!$B$3:$B$14,MATCH(F478,Codes!$A$3:$A$14,0)),0)=E478,"OK","points/type mismatch")))</f>
        <v/>
      </c>
    </row>
    <row r="479" customFormat="false" ht="15" hidden="false" customHeight="false" outlineLevel="0" collapsed="false">
      <c r="A479" s="15"/>
      <c r="B479" s="16"/>
      <c r="C479" s="15"/>
      <c r="D479" s="15"/>
      <c r="E479" s="15"/>
      <c r="F479" s="15"/>
      <c r="G479" s="15"/>
      <c r="H479" s="17" t="str">
        <f aca="false">IF(E479="","",IF(F479="","check type",IF(IFERROR(INDEX(Codes!$B$3:$B$14,MATCH(F479,Codes!$A$3:$A$14,0)),0)=E479,"OK","points/type mismatch")))</f>
        <v/>
      </c>
    </row>
    <row r="480" customFormat="false" ht="15" hidden="false" customHeight="false" outlineLevel="0" collapsed="false">
      <c r="A480" s="15"/>
      <c r="B480" s="16"/>
      <c r="C480" s="15"/>
      <c r="D480" s="15"/>
      <c r="E480" s="15"/>
      <c r="F480" s="15"/>
      <c r="G480" s="15"/>
      <c r="H480" s="17" t="str">
        <f aca="false">IF(E480="","",IF(F480="","check type",IF(IFERROR(INDEX(Codes!$B$3:$B$14,MATCH(F480,Codes!$A$3:$A$14,0)),0)=E480,"OK","points/type mismatch")))</f>
        <v/>
      </c>
    </row>
    <row r="481" customFormat="false" ht="15" hidden="false" customHeight="false" outlineLevel="0" collapsed="false">
      <c r="A481" s="15"/>
      <c r="B481" s="16"/>
      <c r="C481" s="15"/>
      <c r="D481" s="15"/>
      <c r="E481" s="15"/>
      <c r="F481" s="15"/>
      <c r="G481" s="15"/>
      <c r="H481" s="17" t="str">
        <f aca="false">IF(E481="","",IF(F481="","check type",IF(IFERROR(INDEX(Codes!$B$3:$B$14,MATCH(F481,Codes!$A$3:$A$14,0)),0)=E481,"OK","points/type mismatch")))</f>
        <v/>
      </c>
    </row>
    <row r="482" customFormat="false" ht="15" hidden="false" customHeight="false" outlineLevel="0" collapsed="false">
      <c r="A482" s="15"/>
      <c r="B482" s="16"/>
      <c r="C482" s="15"/>
      <c r="D482" s="15"/>
      <c r="E482" s="15"/>
      <c r="F482" s="15"/>
      <c r="G482" s="15"/>
      <c r="H482" s="17" t="str">
        <f aca="false">IF(E482="","",IF(F482="","check type",IF(IFERROR(INDEX(Codes!$B$3:$B$14,MATCH(F482,Codes!$A$3:$A$14,0)),0)=E482,"OK","points/type mismatch")))</f>
        <v/>
      </c>
    </row>
    <row r="483" customFormat="false" ht="15" hidden="false" customHeight="false" outlineLevel="0" collapsed="false">
      <c r="A483" s="15"/>
      <c r="B483" s="16"/>
      <c r="C483" s="15"/>
      <c r="D483" s="15"/>
      <c r="E483" s="15"/>
      <c r="F483" s="15"/>
      <c r="G483" s="15"/>
      <c r="H483" s="17" t="str">
        <f aca="false">IF(E483="","",IF(F483="","check type",IF(IFERROR(INDEX(Codes!$B$3:$B$14,MATCH(F483,Codes!$A$3:$A$14,0)),0)=E483,"OK","points/type mismatch")))</f>
        <v/>
      </c>
    </row>
    <row r="484" customFormat="false" ht="15" hidden="false" customHeight="false" outlineLevel="0" collapsed="false">
      <c r="A484" s="15"/>
      <c r="B484" s="16"/>
      <c r="C484" s="15"/>
      <c r="D484" s="15"/>
      <c r="E484" s="15"/>
      <c r="F484" s="15"/>
      <c r="G484" s="15"/>
      <c r="H484" s="17" t="str">
        <f aca="false">IF(E484="","",IF(F484="","check type",IF(IFERROR(INDEX(Codes!$B$3:$B$14,MATCH(F484,Codes!$A$3:$A$14,0)),0)=E484,"OK","points/type mismatch")))</f>
        <v/>
      </c>
    </row>
    <row r="485" customFormat="false" ht="15" hidden="false" customHeight="false" outlineLevel="0" collapsed="false">
      <c r="A485" s="15"/>
      <c r="B485" s="16"/>
      <c r="C485" s="15"/>
      <c r="D485" s="15"/>
      <c r="E485" s="15"/>
      <c r="F485" s="15"/>
      <c r="G485" s="15"/>
      <c r="H485" s="17" t="str">
        <f aca="false">IF(E485="","",IF(F485="","check type",IF(IFERROR(INDEX(Codes!$B$3:$B$14,MATCH(F485,Codes!$A$3:$A$14,0)),0)=E485,"OK","points/type mismatch")))</f>
        <v/>
      </c>
    </row>
    <row r="486" customFormat="false" ht="15" hidden="false" customHeight="false" outlineLevel="0" collapsed="false">
      <c r="A486" s="15"/>
      <c r="B486" s="16"/>
      <c r="C486" s="15"/>
      <c r="D486" s="15"/>
      <c r="E486" s="15"/>
      <c r="F486" s="15"/>
      <c r="G486" s="15"/>
      <c r="H486" s="17" t="str">
        <f aca="false">IF(E486="","",IF(F486="","check type",IF(IFERROR(INDEX(Codes!$B$3:$B$14,MATCH(F486,Codes!$A$3:$A$14,0)),0)=E486,"OK","points/type mismatch")))</f>
        <v/>
      </c>
    </row>
    <row r="487" customFormat="false" ht="15" hidden="false" customHeight="false" outlineLevel="0" collapsed="false">
      <c r="A487" s="15"/>
      <c r="B487" s="16"/>
      <c r="C487" s="15"/>
      <c r="D487" s="15"/>
      <c r="E487" s="15"/>
      <c r="F487" s="15"/>
      <c r="G487" s="15"/>
      <c r="H487" s="17" t="str">
        <f aca="false">IF(E487="","",IF(F487="","check type",IF(IFERROR(INDEX(Codes!$B$3:$B$14,MATCH(F487,Codes!$A$3:$A$14,0)),0)=E487,"OK","points/type mismatch")))</f>
        <v/>
      </c>
    </row>
    <row r="488" customFormat="false" ht="15" hidden="false" customHeight="false" outlineLevel="0" collapsed="false">
      <c r="A488" s="15"/>
      <c r="B488" s="16"/>
      <c r="C488" s="15"/>
      <c r="D488" s="15"/>
      <c r="E488" s="15"/>
      <c r="F488" s="15"/>
      <c r="G488" s="15"/>
      <c r="H488" s="17" t="str">
        <f aca="false">IF(E488="","",IF(F488="","check type",IF(IFERROR(INDEX(Codes!$B$3:$B$14,MATCH(F488,Codes!$A$3:$A$14,0)),0)=E488,"OK","points/type mismatch")))</f>
        <v/>
      </c>
    </row>
    <row r="489" customFormat="false" ht="15" hidden="false" customHeight="false" outlineLevel="0" collapsed="false">
      <c r="A489" s="15"/>
      <c r="B489" s="16"/>
      <c r="C489" s="15"/>
      <c r="D489" s="15"/>
      <c r="E489" s="15"/>
      <c r="F489" s="15"/>
      <c r="G489" s="15"/>
      <c r="H489" s="17" t="str">
        <f aca="false">IF(E489="","",IF(F489="","check type",IF(IFERROR(INDEX(Codes!$B$3:$B$14,MATCH(F489,Codes!$A$3:$A$14,0)),0)=E489,"OK","points/type mismatch")))</f>
        <v/>
      </c>
    </row>
    <row r="490" customFormat="false" ht="15" hidden="false" customHeight="false" outlineLevel="0" collapsed="false">
      <c r="A490" s="15"/>
      <c r="B490" s="16"/>
      <c r="C490" s="15"/>
      <c r="D490" s="15"/>
      <c r="E490" s="15"/>
      <c r="F490" s="15"/>
      <c r="G490" s="15"/>
      <c r="H490" s="17" t="str">
        <f aca="false">IF(E490="","",IF(F490="","check type",IF(IFERROR(INDEX(Codes!$B$3:$B$14,MATCH(F490,Codes!$A$3:$A$14,0)),0)=E490,"OK","points/type mismatch")))</f>
        <v/>
      </c>
    </row>
    <row r="491" customFormat="false" ht="15" hidden="false" customHeight="false" outlineLevel="0" collapsed="false">
      <c r="A491" s="15"/>
      <c r="B491" s="16"/>
      <c r="C491" s="15"/>
      <c r="D491" s="15"/>
      <c r="E491" s="15"/>
      <c r="F491" s="15"/>
      <c r="G491" s="15"/>
      <c r="H491" s="17" t="str">
        <f aca="false">IF(E491="","",IF(F491="","check type",IF(IFERROR(INDEX(Codes!$B$3:$B$14,MATCH(F491,Codes!$A$3:$A$14,0)),0)=E491,"OK","points/type mismatch")))</f>
        <v/>
      </c>
    </row>
    <row r="492" customFormat="false" ht="15" hidden="false" customHeight="false" outlineLevel="0" collapsed="false">
      <c r="A492" s="15"/>
      <c r="B492" s="16"/>
      <c r="C492" s="15"/>
      <c r="D492" s="15"/>
      <c r="E492" s="15"/>
      <c r="F492" s="15"/>
      <c r="G492" s="15"/>
      <c r="H492" s="17" t="str">
        <f aca="false">IF(E492="","",IF(F492="","check type",IF(IFERROR(INDEX(Codes!$B$3:$B$14,MATCH(F492,Codes!$A$3:$A$14,0)),0)=E492,"OK","points/type mismatch")))</f>
        <v/>
      </c>
    </row>
    <row r="493" customFormat="false" ht="15" hidden="false" customHeight="false" outlineLevel="0" collapsed="false">
      <c r="A493" s="15"/>
      <c r="B493" s="16"/>
      <c r="C493" s="15"/>
      <c r="D493" s="15"/>
      <c r="E493" s="15"/>
      <c r="F493" s="15"/>
      <c r="G493" s="15"/>
      <c r="H493" s="17" t="str">
        <f aca="false">IF(E493="","",IF(F493="","check type",IF(IFERROR(INDEX(Codes!$B$3:$B$14,MATCH(F493,Codes!$A$3:$A$14,0)),0)=E493,"OK","points/type mismatch")))</f>
        <v/>
      </c>
    </row>
    <row r="494" customFormat="false" ht="15" hidden="false" customHeight="false" outlineLevel="0" collapsed="false">
      <c r="A494" s="15"/>
      <c r="B494" s="16"/>
      <c r="C494" s="15"/>
      <c r="D494" s="15"/>
      <c r="E494" s="15"/>
      <c r="F494" s="15"/>
      <c r="G494" s="15"/>
      <c r="H494" s="17" t="str">
        <f aca="false">IF(E494="","",IF(F494="","check type",IF(IFERROR(INDEX(Codes!$B$3:$B$14,MATCH(F494,Codes!$A$3:$A$14,0)),0)=E494,"OK","points/type mismatch")))</f>
        <v/>
      </c>
    </row>
    <row r="495" customFormat="false" ht="15" hidden="false" customHeight="false" outlineLevel="0" collapsed="false">
      <c r="A495" s="15"/>
      <c r="B495" s="16"/>
      <c r="C495" s="15"/>
      <c r="D495" s="15"/>
      <c r="E495" s="15"/>
      <c r="F495" s="15"/>
      <c r="G495" s="15"/>
      <c r="H495" s="17" t="str">
        <f aca="false">IF(E495="","",IF(F495="","check type",IF(IFERROR(INDEX(Codes!$B$3:$B$14,MATCH(F495,Codes!$A$3:$A$14,0)),0)=E495,"OK","points/type mismatch")))</f>
        <v/>
      </c>
    </row>
    <row r="496" customFormat="false" ht="15" hidden="false" customHeight="false" outlineLevel="0" collapsed="false">
      <c r="A496" s="15"/>
      <c r="B496" s="16"/>
      <c r="C496" s="15"/>
      <c r="D496" s="15"/>
      <c r="E496" s="15"/>
      <c r="F496" s="15"/>
      <c r="G496" s="15"/>
      <c r="H496" s="17" t="str">
        <f aca="false">IF(E496="","",IF(F496="","check type",IF(IFERROR(INDEX(Codes!$B$3:$B$14,MATCH(F496,Codes!$A$3:$A$14,0)),0)=E496,"OK","points/type mismatch")))</f>
        <v/>
      </c>
    </row>
    <row r="497" customFormat="false" ht="15" hidden="false" customHeight="false" outlineLevel="0" collapsed="false">
      <c r="A497" s="15"/>
      <c r="B497" s="16"/>
      <c r="C497" s="15"/>
      <c r="D497" s="15"/>
      <c r="E497" s="15"/>
      <c r="F497" s="15"/>
      <c r="G497" s="15"/>
      <c r="H497" s="17" t="str">
        <f aca="false">IF(E497="","",IF(F497="","check type",IF(IFERROR(INDEX(Codes!$B$3:$B$14,MATCH(F497,Codes!$A$3:$A$14,0)),0)=E497,"OK","points/type mismatch")))</f>
        <v/>
      </c>
    </row>
    <row r="498" customFormat="false" ht="15" hidden="false" customHeight="false" outlineLevel="0" collapsed="false">
      <c r="A498" s="15"/>
      <c r="B498" s="16"/>
      <c r="C498" s="15"/>
      <c r="D498" s="15"/>
      <c r="E498" s="15"/>
      <c r="F498" s="15"/>
      <c r="G498" s="15"/>
      <c r="H498" s="17" t="str">
        <f aca="false">IF(E498="","",IF(F498="","check type",IF(IFERROR(INDEX(Codes!$B$3:$B$14,MATCH(F498,Codes!$A$3:$A$14,0)),0)=E498,"OK","points/type mismatch")))</f>
        <v/>
      </c>
    </row>
    <row r="499" customFormat="false" ht="15" hidden="false" customHeight="false" outlineLevel="0" collapsed="false">
      <c r="A499" s="15"/>
      <c r="B499" s="16"/>
      <c r="C499" s="15"/>
      <c r="D499" s="15"/>
      <c r="E499" s="15"/>
      <c r="F499" s="15"/>
      <c r="G499" s="15"/>
      <c r="H499" s="17" t="str">
        <f aca="false">IF(E499="","",IF(F499="","check type",IF(IFERROR(INDEX(Codes!$B$3:$B$14,MATCH(F499,Codes!$A$3:$A$14,0)),0)=E499,"OK","points/type mismatch")))</f>
        <v/>
      </c>
    </row>
    <row r="500" customFormat="false" ht="15" hidden="false" customHeight="false" outlineLevel="0" collapsed="false">
      <c r="A500" s="15"/>
      <c r="B500" s="16"/>
      <c r="C500" s="15"/>
      <c r="D500" s="15"/>
      <c r="E500" s="15"/>
      <c r="F500" s="15"/>
      <c r="G500" s="15"/>
      <c r="H500" s="17" t="str">
        <f aca="false">IF(E500="","",IF(F500="","check type",IF(IFERROR(INDEX(Codes!$B$3:$B$14,MATCH(F500,Codes!$A$3:$A$14,0)),0)=E500,"OK","points/type mismatch")))</f>
        <v/>
      </c>
    </row>
    <row r="501" customFormat="false" ht="15" hidden="false" customHeight="false" outlineLevel="0" collapsed="false">
      <c r="A501" s="15"/>
      <c r="B501" s="16"/>
      <c r="C501" s="15"/>
      <c r="D501" s="15"/>
      <c r="E501" s="15"/>
      <c r="F501" s="15"/>
      <c r="G501" s="15"/>
      <c r="H501" s="17" t="str">
        <f aca="false">IF(E501="","",IF(F501="","check type",IF(IFERROR(INDEX(Codes!$B$3:$B$14,MATCH(F501,Codes!$A$3:$A$14,0)),0)=E501,"OK","points/type mismatch")))</f>
        <v/>
      </c>
    </row>
  </sheetData>
  <autoFilter ref="A1:H501"/>
  <dataValidations count="3">
    <dataValidation allowBlank="true" error="Pick a value from the list." errorStyle="stop" errorTitle="Invalid entry" operator="between" showDropDown="false" showErrorMessage="false" showInputMessage="false" sqref="E2:E501" type="list">
      <formula1>"1,2,3"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Codes!$A$3:$A$14</formula1>
      <formula2>0</formula2>
    </dataValidation>
    <dataValidation allowBlank="true" error="Pick a value from the list." errorStyle="stop" errorTitle="Invalid entry" operator="between" showDropDown="false" showErrorMessage="false" showInputMessage="false" sqref="G2:G5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10" t="s">
        <v>48</v>
      </c>
      <c r="B2" s="10" t="s">
        <v>49</v>
      </c>
      <c r="C2" s="10" t="s">
        <v>50</v>
      </c>
    </row>
    <row r="3" customFormat="false" ht="15" hidden="false" customHeight="false" outlineLevel="0" collapsed="false">
      <c r="A3" s="18" t="s">
        <v>51</v>
      </c>
      <c r="B3" s="18" t="n">
        <v>1</v>
      </c>
      <c r="C3" s="6" t="s">
        <v>52</v>
      </c>
    </row>
    <row r="4" customFormat="false" ht="15" hidden="false" customHeight="false" outlineLevel="0" collapsed="false">
      <c r="A4" s="18" t="s">
        <v>35</v>
      </c>
      <c r="B4" s="18" t="n">
        <v>2</v>
      </c>
      <c r="C4" s="6" t="s">
        <v>53</v>
      </c>
    </row>
    <row r="5" customFormat="false" ht="15" hidden="false" customHeight="false" outlineLevel="0" collapsed="false">
      <c r="A5" s="18" t="s">
        <v>54</v>
      </c>
      <c r="B5" s="18" t="n">
        <v>2</v>
      </c>
      <c r="C5" s="6" t="s">
        <v>55</v>
      </c>
    </row>
    <row r="6" customFormat="false" ht="15" hidden="false" customHeight="false" outlineLevel="0" collapsed="false">
      <c r="A6" s="18" t="s">
        <v>56</v>
      </c>
      <c r="B6" s="18" t="n">
        <v>2</v>
      </c>
      <c r="C6" s="6" t="s">
        <v>57</v>
      </c>
    </row>
    <row r="7" customFormat="false" ht="15" hidden="false" customHeight="false" outlineLevel="0" collapsed="false">
      <c r="A7" s="18" t="s">
        <v>58</v>
      </c>
      <c r="B7" s="18" t="n">
        <v>2</v>
      </c>
      <c r="C7" s="6" t="s">
        <v>59</v>
      </c>
    </row>
    <row r="8" customFormat="false" ht="15" hidden="false" customHeight="false" outlineLevel="0" collapsed="false">
      <c r="A8" s="18" t="s">
        <v>60</v>
      </c>
      <c r="B8" s="18" t="n">
        <v>2</v>
      </c>
      <c r="C8" s="6" t="s">
        <v>61</v>
      </c>
    </row>
    <row r="9" customFormat="false" ht="15" hidden="false" customHeight="false" outlineLevel="0" collapsed="false">
      <c r="A9" s="18" t="s">
        <v>62</v>
      </c>
      <c r="B9" s="18" t="n">
        <v>2</v>
      </c>
      <c r="C9" s="6" t="s">
        <v>63</v>
      </c>
    </row>
    <row r="10" customFormat="false" ht="15" hidden="false" customHeight="false" outlineLevel="0" collapsed="false">
      <c r="A10" s="18" t="s">
        <v>64</v>
      </c>
      <c r="B10" s="18" t="n">
        <v>2</v>
      </c>
      <c r="C10" s="6" t="s">
        <v>65</v>
      </c>
    </row>
    <row r="11" customFormat="false" ht="15" hidden="false" customHeight="false" outlineLevel="0" collapsed="false">
      <c r="A11" s="18" t="s">
        <v>66</v>
      </c>
      <c r="B11" s="18" t="n">
        <v>2</v>
      </c>
      <c r="C11" s="6" t="s">
        <v>67</v>
      </c>
    </row>
    <row r="12" customFormat="false" ht="15" hidden="false" customHeight="false" outlineLevel="0" collapsed="false">
      <c r="A12" s="18" t="s">
        <v>68</v>
      </c>
      <c r="B12" s="18" t="n">
        <v>3</v>
      </c>
      <c r="C12" s="6" t="s">
        <v>69</v>
      </c>
    </row>
    <row r="13" customFormat="false" ht="15" hidden="false" customHeight="false" outlineLevel="0" collapsed="false">
      <c r="A13" s="18" t="s">
        <v>70</v>
      </c>
      <c r="B13" s="18" t="n">
        <v>3</v>
      </c>
      <c r="C13" s="6" t="s">
        <v>71</v>
      </c>
    </row>
    <row r="14" customFormat="false" ht="15" hidden="false" customHeight="false" outlineLevel="0" collapsed="false">
      <c r="A14" s="18" t="s">
        <v>72</v>
      </c>
      <c r="B14" s="18" t="n">
        <v>3</v>
      </c>
      <c r="C14" s="6" t="s">
        <v>73</v>
      </c>
    </row>
    <row r="16" customFormat="false" ht="15" hidden="false" customHeight="false" outlineLevel="0" collapsed="false">
      <c r="A16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3" t="s">
        <v>76</v>
      </c>
      <c r="B3" s="3"/>
      <c r="C3" s="3"/>
      <c r="D3" s="3"/>
    </row>
    <row r="4" customFormat="false" ht="15" hidden="false" customHeight="false" outlineLevel="0" collapsed="false">
      <c r="A4" s="5" t="s">
        <v>77</v>
      </c>
      <c r="B4" s="19" t="n">
        <v>100</v>
      </c>
      <c r="C4" s="20" t="s">
        <v>78</v>
      </c>
    </row>
    <row r="5" customFormat="false" ht="15" hidden="false" customHeight="false" outlineLevel="0" collapsed="false">
      <c r="A5" s="5" t="s">
        <v>79</v>
      </c>
      <c r="B5" s="19" t="n">
        <v>10</v>
      </c>
      <c r="C5" s="20" t="s">
        <v>80</v>
      </c>
    </row>
    <row r="6" customFormat="false" ht="15" hidden="false" customHeight="false" outlineLevel="0" collapsed="false">
      <c r="A6" s="5" t="s">
        <v>81</v>
      </c>
      <c r="B6" s="4" t="n">
        <f aca="false">B4+B5</f>
        <v>110</v>
      </c>
      <c r="C6" s="20" t="s">
        <v>82</v>
      </c>
    </row>
    <row r="7" customFormat="false" ht="15" hidden="false" customHeight="false" outlineLevel="0" collapsed="false">
      <c r="A7" s="5" t="s">
        <v>83</v>
      </c>
      <c r="B7" s="19" t="n">
        <v>1</v>
      </c>
      <c r="C7" s="20" t="s">
        <v>84</v>
      </c>
    </row>
    <row r="8" customFormat="false" ht="15" hidden="false" customHeight="false" outlineLevel="0" collapsed="false">
      <c r="A8" s="5" t="s">
        <v>85</v>
      </c>
      <c r="B8" s="19" t="n">
        <v>25</v>
      </c>
      <c r="C8" s="20" t="s">
        <v>86</v>
      </c>
    </row>
    <row r="9" customFormat="false" ht="15" hidden="false" customHeight="false" outlineLevel="0" collapsed="false">
      <c r="A9" s="5" t="s">
        <v>87</v>
      </c>
      <c r="B9" s="19" t="n">
        <v>0.25</v>
      </c>
      <c r="C9" s="20" t="s">
        <v>88</v>
      </c>
    </row>
    <row r="10" customFormat="false" ht="15" hidden="false" customHeight="false" outlineLevel="0" collapsed="false">
      <c r="A10" s="5" t="s">
        <v>89</v>
      </c>
      <c r="B10" s="19" t="n">
        <v>25</v>
      </c>
      <c r="C10" s="20" t="s">
        <v>86</v>
      </c>
    </row>
    <row r="12" customFormat="false" ht="15" hidden="false" customHeight="false" outlineLevel="0" collapsed="false">
      <c r="A12" s="3" t="s">
        <v>90</v>
      </c>
      <c r="B12" s="3"/>
      <c r="C12" s="3"/>
      <c r="D12" s="3"/>
    </row>
    <row r="13" customFormat="false" ht="15" hidden="false" customHeight="false" outlineLevel="0" collapsed="false">
      <c r="A13" s="5" t="s">
        <v>91</v>
      </c>
      <c r="B13" s="4" t="n">
        <f aca="false">COUNT('Score Log'!$E$2:$E$501)</f>
        <v>0</v>
      </c>
      <c r="C13" s="20" t="s">
        <v>92</v>
      </c>
    </row>
    <row r="14" customFormat="false" ht="15" hidden="false" customHeight="false" outlineLevel="0" collapsed="false">
      <c r="A14" s="5" t="s">
        <v>93</v>
      </c>
      <c r="B14" s="21" t="n">
        <f aca="false">IF(B6=0,0,MIN(B13/B6,1))</f>
        <v>0</v>
      </c>
      <c r="C14" s="20"/>
    </row>
    <row r="15" customFormat="false" ht="15" hidden="false" customHeight="false" outlineLevel="0" collapsed="false">
      <c r="A15" s="5" t="s">
        <v>94</v>
      </c>
      <c r="B15" s="22" t="n">
        <f aca="false">MAX(B6-B13,0)</f>
        <v>110</v>
      </c>
      <c r="C15" s="20"/>
    </row>
    <row r="16" customFormat="false" ht="15" hidden="false" customHeight="false" outlineLevel="0" collapsed="false">
      <c r="A16" s="5" t="s">
        <v>95</v>
      </c>
      <c r="B16" s="23" t="n">
        <f aca="false">MIN(B13*B7,B8)</f>
        <v>0</v>
      </c>
      <c r="C16" s="20" t="s">
        <v>96</v>
      </c>
    </row>
    <row r="17" customFormat="false" ht="15" hidden="false" customHeight="false" outlineLevel="0" collapsed="false">
      <c r="A17" s="5" t="s">
        <v>97</v>
      </c>
      <c r="B17" s="23" t="n">
        <f aca="false">MIN(B13*B9,B10)</f>
        <v>0</v>
      </c>
      <c r="C17" s="20" t="s">
        <v>98</v>
      </c>
    </row>
    <row r="18" customFormat="false" ht="15" hidden="false" customHeight="false" outlineLevel="0" collapsed="false">
      <c r="A18" s="5" t="s">
        <v>99</v>
      </c>
      <c r="B18" s="22" t="n">
        <f aca="false">COUNTIF('Score Log'!$H$2:$H$501,"points/type mismatch")+COUNTIF('Score Log'!$H$2:$H$501,"check type")</f>
        <v>0</v>
      </c>
      <c r="C18" s="20" t="s">
        <v>100</v>
      </c>
    </row>
    <row r="20" customFormat="false" ht="15" hidden="false" customHeight="false" outlineLevel="0" collapsed="false">
      <c r="A20" s="3" t="s">
        <v>101</v>
      </c>
      <c r="B20" s="3"/>
      <c r="C20" s="3"/>
      <c r="D20" s="3"/>
    </row>
    <row r="21" customFormat="false" ht="15" hidden="false" customHeight="false" outlineLevel="0" collapsed="false">
      <c r="A21" s="10" t="s">
        <v>49</v>
      </c>
      <c r="B21" s="10" t="s">
        <v>102</v>
      </c>
      <c r="C21" s="10" t="s">
        <v>103</v>
      </c>
      <c r="D21" s="10" t="s">
        <v>104</v>
      </c>
    </row>
    <row r="22" customFormat="false" ht="15" hidden="false" customHeight="false" outlineLevel="0" collapsed="false">
      <c r="A22" s="4" t="n">
        <v>1</v>
      </c>
      <c r="B22" s="4" t="n">
        <f aca="false">COUNTIF('Score Log'!$E$2:$E$501,A22)</f>
        <v>0</v>
      </c>
      <c r="C22" s="21" t="n">
        <f aca="false">IF($B$13=0,0,B22/$B$13)</f>
        <v>0</v>
      </c>
      <c r="D22" s="4" t="n">
        <f aca="false">A22*B22</f>
        <v>0</v>
      </c>
    </row>
    <row r="23" customFormat="false" ht="15" hidden="false" customHeight="false" outlineLevel="0" collapsed="false">
      <c r="A23" s="4" t="n">
        <v>2</v>
      </c>
      <c r="B23" s="4" t="n">
        <f aca="false">COUNTIF('Score Log'!$E$2:$E$501,A23)</f>
        <v>0</v>
      </c>
      <c r="C23" s="21" t="n">
        <f aca="false">IF($B$13=0,0,B23/$B$13)</f>
        <v>0</v>
      </c>
      <c r="D23" s="4" t="n">
        <f aca="false">A23*B23</f>
        <v>0</v>
      </c>
    </row>
    <row r="24" customFormat="false" ht="15" hidden="false" customHeight="false" outlineLevel="0" collapsed="false">
      <c r="A24" s="4" t="n">
        <v>3</v>
      </c>
      <c r="B24" s="4" t="n">
        <f aca="false">COUNTIF('Score Log'!$E$2:$E$501,A24)</f>
        <v>0</v>
      </c>
      <c r="C24" s="21" t="n">
        <f aca="false">IF($B$13=0,0,B24/$B$13)</f>
        <v>0</v>
      </c>
      <c r="D24" s="4" t="n">
        <f aca="false">A24*B24</f>
        <v>0</v>
      </c>
    </row>
    <row r="25" customFormat="false" ht="15" hidden="false" customHeight="false" outlineLevel="0" collapsed="false">
      <c r="A25" s="24" t="s">
        <v>105</v>
      </c>
      <c r="B25" s="24" t="n">
        <f aca="false">SUM(B22:B24)</f>
        <v>0</v>
      </c>
      <c r="C25" s="25" t="n">
        <f aca="false">SUM(C22:C24)</f>
        <v>0</v>
      </c>
      <c r="D25" s="24" t="n">
        <f aca="false">SUM(D22:D24)</f>
        <v>0</v>
      </c>
    </row>
    <row r="27" customFormat="false" ht="15" hidden="false" customHeight="false" outlineLevel="0" collapsed="false">
      <c r="A27" s="3" t="s">
        <v>106</v>
      </c>
      <c r="B27" s="3"/>
      <c r="C27" s="3"/>
      <c r="D27" s="3"/>
    </row>
    <row r="28" customFormat="false" ht="15" hidden="false" customHeight="false" outlineLevel="0" collapsed="false">
      <c r="A28" s="10" t="s">
        <v>107</v>
      </c>
      <c r="B28" s="10" t="s">
        <v>49</v>
      </c>
      <c r="C28" s="10" t="s">
        <v>102</v>
      </c>
      <c r="D28" s="10" t="s">
        <v>103</v>
      </c>
    </row>
    <row r="29" customFormat="false" ht="15" hidden="false" customHeight="false" outlineLevel="0" collapsed="false">
      <c r="A29" s="26" t="str">
        <f aca="false">Codes!A3</f>
        <v>FT</v>
      </c>
      <c r="B29" s="26" t="n">
        <f aca="false">Codes!B3</f>
        <v>1</v>
      </c>
      <c r="C29" s="4" t="n">
        <f aca="false">COUNTIF('Score Log'!$F$2:$F$501,A29)</f>
        <v>0</v>
      </c>
      <c r="D29" s="21" t="n">
        <f aca="false">IF($B$13=0,0,C29/$B$13)</f>
        <v>0</v>
      </c>
    </row>
    <row r="30" customFormat="false" ht="15" hidden="false" customHeight="false" outlineLevel="0" collapsed="false">
      <c r="A30" s="26" t="str">
        <f aca="false">Codes!A4</f>
        <v>LAYUP</v>
      </c>
      <c r="B30" s="26" t="n">
        <f aca="false">Codes!B4</f>
        <v>2</v>
      </c>
      <c r="C30" s="4" t="n">
        <f aca="false">COUNTIF('Score Log'!$F$2:$F$501,A30)</f>
        <v>0</v>
      </c>
      <c r="D30" s="21" t="n">
        <f aca="false">IF($B$13=0,0,C30/$B$13)</f>
        <v>0</v>
      </c>
    </row>
    <row r="31" customFormat="false" ht="15" hidden="false" customHeight="false" outlineLevel="0" collapsed="false">
      <c r="A31" s="26" t="str">
        <f aca="false">Codes!A5</f>
        <v>DUNK</v>
      </c>
      <c r="B31" s="26" t="n">
        <f aca="false">Codes!B5</f>
        <v>2</v>
      </c>
      <c r="C31" s="4" t="n">
        <f aca="false">COUNTIF('Score Log'!$F$2:$F$501,A31)</f>
        <v>0</v>
      </c>
      <c r="D31" s="21" t="n">
        <f aca="false">IF($B$13=0,0,C31/$B$13)</f>
        <v>0</v>
      </c>
    </row>
    <row r="32" customFormat="false" ht="15" hidden="false" customHeight="false" outlineLevel="0" collapsed="false">
      <c r="A32" s="26" t="str">
        <f aca="false">Codes!A6</f>
        <v>FLOAT</v>
      </c>
      <c r="B32" s="26" t="n">
        <f aca="false">Codes!B6</f>
        <v>2</v>
      </c>
      <c r="C32" s="4" t="n">
        <f aca="false">COUNTIF('Score Log'!$F$2:$F$501,A32)</f>
        <v>0</v>
      </c>
      <c r="D32" s="21" t="n">
        <f aca="false">IF($B$13=0,0,C32/$B$13)</f>
        <v>0</v>
      </c>
    </row>
    <row r="33" customFormat="false" ht="15" hidden="false" customHeight="false" outlineLevel="0" collapsed="false">
      <c r="A33" s="26" t="str">
        <f aca="false">Codes!A7</f>
        <v>JUMPER</v>
      </c>
      <c r="B33" s="26" t="n">
        <f aca="false">Codes!B7</f>
        <v>2</v>
      </c>
      <c r="C33" s="4" t="n">
        <f aca="false">COUNTIF('Score Log'!$F$2:$F$501,A33)</f>
        <v>0</v>
      </c>
      <c r="D33" s="21" t="n">
        <f aca="false">IF($B$13=0,0,C33/$B$13)</f>
        <v>0</v>
      </c>
    </row>
    <row r="34" customFormat="false" ht="15" hidden="false" customHeight="false" outlineLevel="0" collapsed="false">
      <c r="A34" s="26" t="str">
        <f aca="false">Codes!A8</f>
        <v>HOOK</v>
      </c>
      <c r="B34" s="26" t="n">
        <f aca="false">Codes!B8</f>
        <v>2</v>
      </c>
      <c r="C34" s="4" t="n">
        <f aca="false">COUNTIF('Score Log'!$F$2:$F$501,A34)</f>
        <v>0</v>
      </c>
      <c r="D34" s="21" t="n">
        <f aca="false">IF($B$13=0,0,C34/$B$13)</f>
        <v>0</v>
      </c>
    </row>
    <row r="35" customFormat="false" ht="15" hidden="false" customHeight="false" outlineLevel="0" collapsed="false">
      <c r="A35" s="26" t="str">
        <f aca="false">Codes!A9</f>
        <v>PUTBACK</v>
      </c>
      <c r="B35" s="26" t="n">
        <f aca="false">Codes!B9</f>
        <v>2</v>
      </c>
      <c r="C35" s="4" t="n">
        <f aca="false">COUNTIF('Score Log'!$F$2:$F$501,A35)</f>
        <v>0</v>
      </c>
      <c r="D35" s="21" t="n">
        <f aca="false">IF($B$13=0,0,C35/$B$13)</f>
        <v>0</v>
      </c>
    </row>
    <row r="36" customFormat="false" ht="15" hidden="false" customHeight="false" outlineLevel="0" collapsed="false">
      <c r="A36" s="26" t="str">
        <f aca="false">Codes!A10</f>
        <v>TIPIN</v>
      </c>
      <c r="B36" s="26" t="n">
        <f aca="false">Codes!B10</f>
        <v>2</v>
      </c>
      <c r="C36" s="4" t="n">
        <f aca="false">COUNTIF('Score Log'!$F$2:$F$501,A36)</f>
        <v>0</v>
      </c>
      <c r="D36" s="21" t="n">
        <f aca="false">IF($B$13=0,0,C36/$B$13)</f>
        <v>0</v>
      </c>
    </row>
    <row r="37" customFormat="false" ht="15" hidden="false" customHeight="false" outlineLevel="0" collapsed="false">
      <c r="A37" s="26" t="str">
        <f aca="false">Codes!A11</f>
        <v>OTHER</v>
      </c>
      <c r="B37" s="26" t="n">
        <f aca="false">Codes!B11</f>
        <v>2</v>
      </c>
      <c r="C37" s="4" t="n">
        <f aca="false">COUNTIF('Score Log'!$F$2:$F$501,A37)</f>
        <v>0</v>
      </c>
      <c r="D37" s="21" t="n">
        <f aca="false">IF($B$13=0,0,C37/$B$13)</f>
        <v>0</v>
      </c>
    </row>
    <row r="38" customFormat="false" ht="15" hidden="false" customHeight="false" outlineLevel="0" collapsed="false">
      <c r="A38" s="26" t="str">
        <f aca="false">Codes!A12</f>
        <v>THREE</v>
      </c>
      <c r="B38" s="26" t="n">
        <f aca="false">Codes!B12</f>
        <v>3</v>
      </c>
      <c r="C38" s="4" t="n">
        <f aca="false">COUNTIF('Score Log'!$F$2:$F$501,A38)</f>
        <v>0</v>
      </c>
      <c r="D38" s="21" t="n">
        <f aca="false">IF($B$13=0,0,C38/$B$13)</f>
        <v>0</v>
      </c>
    </row>
    <row r="39" customFormat="false" ht="15" hidden="false" customHeight="false" outlineLevel="0" collapsed="false">
      <c r="A39" s="26" t="str">
        <f aca="false">Codes!A13</f>
        <v>CORNER</v>
      </c>
      <c r="B39" s="26" t="n">
        <f aca="false">Codes!B13</f>
        <v>3</v>
      </c>
      <c r="C39" s="4" t="n">
        <f aca="false">COUNTIF('Score Log'!$F$2:$F$501,A39)</f>
        <v>0</v>
      </c>
      <c r="D39" s="21" t="n">
        <f aca="false">IF($B$13=0,0,C39/$B$13)</f>
        <v>0</v>
      </c>
    </row>
    <row r="40" customFormat="false" ht="15" hidden="false" customHeight="false" outlineLevel="0" collapsed="false">
      <c r="A40" s="26" t="str">
        <f aca="false">Codes!A14</f>
        <v>WING</v>
      </c>
      <c r="B40" s="26" t="n">
        <f aca="false">Codes!B14</f>
        <v>3</v>
      </c>
      <c r="C40" s="4" t="n">
        <f aca="false">COUNTIF('Score Log'!$F$2:$F$501,A40)</f>
        <v>0</v>
      </c>
      <c r="D40" s="21" t="n">
        <f aca="false">IF($B$13=0,0,C40/$B$13)</f>
        <v>0</v>
      </c>
    </row>
    <row r="41" customFormat="false" ht="15" hidden="false" customHeight="false" outlineLevel="0" collapsed="false">
      <c r="A41" s="24" t="s">
        <v>105</v>
      </c>
      <c r="B41" s="24"/>
      <c r="C41" s="24" t="n">
        <f aca="false">SUM(C29:C40)</f>
        <v>0</v>
      </c>
      <c r="D41" s="25" t="n">
        <f aca="false">SUM(D29:D40)</f>
        <v>0</v>
      </c>
    </row>
    <row r="43" customFormat="false" ht="15" hidden="false" customHeight="false" outlineLevel="0" collapsed="false">
      <c r="A43" s="3" t="s">
        <v>108</v>
      </c>
      <c r="B43" s="3"/>
      <c r="C43" s="3"/>
      <c r="D43" s="3"/>
    </row>
    <row r="44" customFormat="false" ht="15" hidden="false" customHeight="false" outlineLevel="0" collapsed="false">
      <c r="A44" s="5" t="s">
        <v>109</v>
      </c>
      <c r="B44" s="21" t="n">
        <f aca="false">IF($B$23=0,0,C37/$B$23)</f>
        <v>0</v>
      </c>
      <c r="C44" s="20" t="str">
        <f aca="false">IF(B44&gt;$B$45,"Over the limit: promote common OTHER types to their own code","OK")</f>
        <v>OK</v>
      </c>
    </row>
    <row r="45" customFormat="false" ht="15" hidden="false" customHeight="false" outlineLevel="0" collapsed="false">
      <c r="A45" s="5" t="s">
        <v>110</v>
      </c>
      <c r="B45" s="27" t="n">
        <v>0.1</v>
      </c>
      <c r="C45" s="20" t="s">
        <v>111</v>
      </c>
    </row>
    <row r="46" customFormat="false" ht="15" hidden="false" customHeight="false" outlineLevel="0" collapsed="false">
      <c r="A46" s="5" t="s">
        <v>112</v>
      </c>
      <c r="B46" s="21" t="n">
        <f aca="false">IF(COUNTIF('Score Log'!$G$2:$G$501,"Y")+COUNTIF('Score Log'!$G$2:$G$501,"N")=0,0,COUNTIF('Score Log'!$G$2:$G$501,"Y")/(COUNTIF('Score Log'!$G$2:$G$501,"Y")+COUNTIF('Score Log'!$G$2:$G$501,"N")))</f>
        <v>0</v>
      </c>
      <c r="C46" s="2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3"/>
    <col collapsed="false" customWidth="true" hidden="false" outlineLevel="0" max="7" min="7" style="0" width="34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3" customFormat="false" ht="23.85" hidden="false" customHeight="false" outlineLevel="0" collapsed="false">
      <c r="A3" s="10" t="s">
        <v>116</v>
      </c>
      <c r="B3" s="10" t="s">
        <v>117</v>
      </c>
      <c r="C3" s="10" t="s">
        <v>91</v>
      </c>
      <c r="D3" s="10" t="s">
        <v>118</v>
      </c>
      <c r="E3" s="10" t="s">
        <v>119</v>
      </c>
      <c r="G3" s="10" t="s">
        <v>120</v>
      </c>
      <c r="H3" s="10" t="s">
        <v>121</v>
      </c>
    </row>
    <row r="4" customFormat="false" ht="15" hidden="false" customHeight="false" outlineLevel="0" collapsed="false">
      <c r="A4" s="16" t="n">
        <v>46314</v>
      </c>
      <c r="B4" s="28" t="str">
        <f aca="false">IF(A4="","",TEXT(A4,"ddd"))</f>
        <v>Mon</v>
      </c>
      <c r="C4" s="28" t="n">
        <f aca="false">IF(A4="","",COUNTIF('Score Log'!$B$2:$B$501,A4))</f>
        <v>0</v>
      </c>
      <c r="D4" s="15"/>
      <c r="E4" s="29"/>
      <c r="G4" s="5" t="s">
        <v>122</v>
      </c>
      <c r="H4" s="22" t="n">
        <f aca="false">COUNTIF($D$4:$D$23,"Y")</f>
        <v>0</v>
      </c>
    </row>
    <row r="5" customFormat="false" ht="15" hidden="false" customHeight="false" outlineLevel="0" collapsed="false">
      <c r="A5" s="16" t="n">
        <v>46316</v>
      </c>
      <c r="B5" s="28" t="str">
        <f aca="false">IF(A5="","",TEXT(A5,"ddd"))</f>
        <v>Wed</v>
      </c>
      <c r="C5" s="28" t="n">
        <f aca="false">IF(A5="","",COUNTIF('Score Log'!$B$2:$B$501,A5))</f>
        <v>0</v>
      </c>
      <c r="D5" s="15"/>
      <c r="E5" s="29"/>
      <c r="G5" s="5" t="s">
        <v>123</v>
      </c>
      <c r="H5" s="11" t="str">
        <f aca="false">IF(H4=0,"",_xlfn.MINIFS($A$4:$A$23,$D$4:$D$23,"Y"))</f>
        <v/>
      </c>
    </row>
    <row r="6" customFormat="false" ht="15" hidden="false" customHeight="false" outlineLevel="0" collapsed="false">
      <c r="A6" s="16" t="n">
        <v>46321</v>
      </c>
      <c r="B6" s="28" t="str">
        <f aca="false">IF(A6="","",TEXT(A6,"ddd"))</f>
        <v>Mon</v>
      </c>
      <c r="C6" s="28" t="n">
        <f aca="false">IF(A6="","",COUNTIF('Score Log'!$B$2:$B$501,A6))</f>
        <v>0</v>
      </c>
      <c r="D6" s="15"/>
      <c r="E6" s="29"/>
      <c r="G6" s="5" t="s">
        <v>124</v>
      </c>
      <c r="H6" s="11" t="str">
        <f aca="false">IF(H4=0,"",_xlfn.MAXIFS($A$4:$A$23,$D$4:$D$23,"Y"))</f>
        <v/>
      </c>
    </row>
    <row r="7" customFormat="false" ht="15" hidden="false" customHeight="false" outlineLevel="0" collapsed="false">
      <c r="A7" s="16" t="n">
        <v>46323</v>
      </c>
      <c r="B7" s="28" t="str">
        <f aca="false">IF(A7="","",TEXT(A7,"ddd"))</f>
        <v>Wed</v>
      </c>
      <c r="C7" s="28" t="n">
        <f aca="false">IF(A7="","",COUNTIF('Score Log'!$B$2:$B$501,A7))</f>
        <v>0</v>
      </c>
      <c r="D7" s="15"/>
      <c r="E7" s="29"/>
      <c r="G7" s="5" t="s">
        <v>125</v>
      </c>
      <c r="H7" s="22" t="n">
        <f aca="false">IF(H4=0,0,H6-H5)</f>
        <v>0</v>
      </c>
    </row>
    <row r="8" customFormat="false" ht="15" hidden="false" customHeight="false" outlineLevel="0" collapsed="false">
      <c r="A8" s="16" t="n">
        <v>46328</v>
      </c>
      <c r="B8" s="28" t="str">
        <f aca="false">IF(A8="","",TEXT(A8,"ddd"))</f>
        <v>Mon</v>
      </c>
      <c r="C8" s="28" t="n">
        <f aca="false">IF(A8="","",COUNTIF('Score Log'!$B$2:$B$501,A8))</f>
        <v>0</v>
      </c>
      <c r="D8" s="15"/>
      <c r="E8" s="29"/>
      <c r="G8" s="5" t="s">
        <v>126</v>
      </c>
      <c r="H8" s="30" t="n">
        <v>5</v>
      </c>
    </row>
    <row r="9" customFormat="false" ht="15" hidden="false" customHeight="false" outlineLevel="0" collapsed="false">
      <c r="A9" s="16" t="n">
        <v>46330</v>
      </c>
      <c r="B9" s="28" t="str">
        <f aca="false">IF(A9="","",TEXT(A9,"ddd"))</f>
        <v>Wed</v>
      </c>
      <c r="C9" s="28" t="n">
        <f aca="false">IF(A9="","",COUNTIF('Score Log'!$B$2:$B$501,A9))</f>
        <v>0</v>
      </c>
      <c r="D9" s="15"/>
      <c r="E9" s="29"/>
      <c r="G9" s="5" t="s">
        <v>127</v>
      </c>
      <c r="H9" s="30" t="n">
        <v>3</v>
      </c>
    </row>
    <row r="10" customFormat="false" ht="15" hidden="false" customHeight="false" outlineLevel="0" collapsed="false">
      <c r="A10" s="16"/>
      <c r="B10" s="28" t="str">
        <f aca="false">IF(A10="","",TEXT(A10,"ddd"))</f>
        <v/>
      </c>
      <c r="C10" s="28" t="str">
        <f aca="false">IF(A10="","",COUNTIF('Score Log'!$B$2:$B$501,A10))</f>
        <v/>
      </c>
      <c r="D10" s="15"/>
      <c r="E10" s="29"/>
      <c r="G10" s="5" t="s">
        <v>128</v>
      </c>
      <c r="H10" s="30" t="n">
        <v>7</v>
      </c>
    </row>
    <row r="11" customFormat="false" ht="15" hidden="false" customHeight="false" outlineLevel="0" collapsed="false">
      <c r="A11" s="16"/>
      <c r="B11" s="28" t="str">
        <f aca="false">IF(A11="","",TEXT(A11,"ddd"))</f>
        <v/>
      </c>
      <c r="C11" s="28" t="str">
        <f aca="false">IF(A11="","",COUNTIF('Score Log'!$B$2:$B$501,A11))</f>
        <v/>
      </c>
      <c r="D11" s="15"/>
      <c r="E11" s="29"/>
      <c r="G11" s="5" t="s">
        <v>129</v>
      </c>
      <c r="H11" s="30" t="n">
        <v>14</v>
      </c>
    </row>
    <row r="12" customFormat="false" ht="15" hidden="false" customHeight="false" outlineLevel="0" collapsed="false">
      <c r="A12" s="16"/>
      <c r="B12" s="28" t="str">
        <f aca="false">IF(A12="","",TEXT(A12,"ddd"))</f>
        <v/>
      </c>
      <c r="C12" s="28" t="str">
        <f aca="false">IF(A12="","",COUNTIF('Score Log'!$B$2:$B$501,A12))</f>
        <v/>
      </c>
      <c r="D12" s="15"/>
      <c r="E12" s="29"/>
      <c r="G12" s="5" t="s">
        <v>130</v>
      </c>
      <c r="H12" s="30" t="n">
        <v>5</v>
      </c>
    </row>
    <row r="13" customFormat="false" ht="15" hidden="false" customHeight="false" outlineLevel="0" collapsed="false">
      <c r="A13" s="16"/>
      <c r="B13" s="28" t="str">
        <f aca="false">IF(A13="","",TEXT(A13,"ddd"))</f>
        <v/>
      </c>
      <c r="C13" s="28" t="str">
        <f aca="false">IF(A13="","",COUNTIF('Score Log'!$B$2:$B$501,A13))</f>
        <v/>
      </c>
      <c r="D13" s="15"/>
      <c r="E13" s="29"/>
      <c r="G13" s="31" t="s">
        <v>131</v>
      </c>
      <c r="H13" s="32" t="n">
        <f aca="false">MIN(MIN(H4,H9)*H8+IF(H7&gt;H10,H12,0)+IF(H7&gt;H11,H12,0),H9*H8+2*H12)</f>
        <v>0</v>
      </c>
    </row>
    <row r="14" customFormat="false" ht="15" hidden="false" customHeight="false" outlineLevel="0" collapsed="false">
      <c r="A14" s="16"/>
      <c r="B14" s="28" t="str">
        <f aca="false">IF(A14="","",TEXT(A14,"ddd"))</f>
        <v/>
      </c>
      <c r="C14" s="28" t="str">
        <f aca="false">IF(A14="","",COUNTIF('Score Log'!$B$2:$B$501,A14))</f>
        <v/>
      </c>
      <c r="D14" s="15"/>
      <c r="E14" s="29"/>
    </row>
    <row r="15" customFormat="false" ht="15" hidden="false" customHeight="true" outlineLevel="0" collapsed="false">
      <c r="A15" s="16"/>
      <c r="B15" s="28" t="str">
        <f aca="false">IF(A15="","",TEXT(A15,"ddd"))</f>
        <v/>
      </c>
      <c r="C15" s="28" t="str">
        <f aca="false">IF(A15="","",COUNTIF('Score Log'!$B$2:$B$501,A15))</f>
        <v/>
      </c>
      <c r="D15" s="15"/>
      <c r="E15" s="29"/>
      <c r="G15" s="33" t="s">
        <v>132</v>
      </c>
      <c r="H15" s="33"/>
    </row>
    <row r="16" customFormat="false" ht="15" hidden="false" customHeight="false" outlineLevel="0" collapsed="false">
      <c r="A16" s="16"/>
      <c r="B16" s="28" t="str">
        <f aca="false">IF(A16="","",TEXT(A16,"ddd"))</f>
        <v/>
      </c>
      <c r="C16" s="28" t="str">
        <f aca="false">IF(A16="","",COUNTIF('Score Log'!$B$2:$B$501,A16))</f>
        <v/>
      </c>
      <c r="D16" s="15"/>
      <c r="E16" s="29"/>
      <c r="G16" s="33"/>
      <c r="H16" s="33"/>
    </row>
    <row r="17" customFormat="false" ht="15" hidden="false" customHeight="false" outlineLevel="0" collapsed="false">
      <c r="A17" s="16"/>
      <c r="B17" s="28" t="str">
        <f aca="false">IF(A17="","",TEXT(A17,"ddd"))</f>
        <v/>
      </c>
      <c r="C17" s="28" t="str">
        <f aca="false">IF(A17="","",COUNTIF('Score Log'!$B$2:$B$501,A17))</f>
        <v/>
      </c>
      <c r="D17" s="15"/>
      <c r="E17" s="29"/>
      <c r="G17" s="33"/>
      <c r="H17" s="33"/>
    </row>
    <row r="18" customFormat="false" ht="15" hidden="false" customHeight="false" outlineLevel="0" collapsed="false">
      <c r="A18" s="16"/>
      <c r="B18" s="28" t="str">
        <f aca="false">IF(A18="","",TEXT(A18,"ddd"))</f>
        <v/>
      </c>
      <c r="C18" s="28" t="str">
        <f aca="false">IF(A18="","",COUNTIF('Score Log'!$B$2:$B$501,A18))</f>
        <v/>
      </c>
      <c r="D18" s="15"/>
      <c r="E18" s="29"/>
    </row>
    <row r="19" customFormat="false" ht="15" hidden="false" customHeight="false" outlineLevel="0" collapsed="false">
      <c r="A19" s="16"/>
      <c r="B19" s="28" t="str">
        <f aca="false">IF(A19="","",TEXT(A19,"ddd"))</f>
        <v/>
      </c>
      <c r="C19" s="28" t="str">
        <f aca="false">IF(A19="","",COUNTIF('Score Log'!$B$2:$B$501,A19))</f>
        <v/>
      </c>
      <c r="D19" s="15"/>
      <c r="E19" s="29"/>
    </row>
    <row r="20" customFormat="false" ht="15" hidden="false" customHeight="false" outlineLevel="0" collapsed="false">
      <c r="A20" s="16"/>
      <c r="B20" s="28" t="str">
        <f aca="false">IF(A20="","",TEXT(A20,"ddd"))</f>
        <v/>
      </c>
      <c r="C20" s="28" t="str">
        <f aca="false">IF(A20="","",COUNTIF('Score Log'!$B$2:$B$501,A20))</f>
        <v/>
      </c>
      <c r="D20" s="15"/>
      <c r="E20" s="29"/>
    </row>
    <row r="21" customFormat="false" ht="15" hidden="false" customHeight="false" outlineLevel="0" collapsed="false">
      <c r="A21" s="16"/>
      <c r="B21" s="28" t="str">
        <f aca="false">IF(A21="","",TEXT(A21,"ddd"))</f>
        <v/>
      </c>
      <c r="C21" s="28" t="str">
        <f aca="false">IF(A21="","",COUNTIF('Score Log'!$B$2:$B$501,A21))</f>
        <v/>
      </c>
      <c r="D21" s="15"/>
      <c r="E21" s="29"/>
    </row>
    <row r="22" customFormat="false" ht="15" hidden="false" customHeight="false" outlineLevel="0" collapsed="false">
      <c r="A22" s="16"/>
      <c r="B22" s="28" t="str">
        <f aca="false">IF(A22="","",TEXT(A22,"ddd"))</f>
        <v/>
      </c>
      <c r="C22" s="28" t="str">
        <f aca="false">IF(A22="","",COUNTIF('Score Log'!$B$2:$B$501,A22))</f>
        <v/>
      </c>
      <c r="D22" s="15"/>
      <c r="E22" s="29"/>
    </row>
    <row r="23" customFormat="false" ht="15" hidden="false" customHeight="false" outlineLevel="0" collapsed="false">
      <c r="A23" s="16"/>
      <c r="B23" s="28" t="str">
        <f aca="false">IF(A23="","",TEXT(A23,"ddd"))</f>
        <v/>
      </c>
      <c r="C23" s="28" t="str">
        <f aca="false">IF(A23="","",COUNTIF('Score Log'!$B$2:$B$501,A23))</f>
        <v/>
      </c>
      <c r="D23" s="15"/>
      <c r="E23" s="29"/>
    </row>
  </sheetData>
  <mergeCells count="1">
    <mergeCell ref="G15:H17"/>
  </mergeCells>
  <dataValidations count="1">
    <dataValidation allowBlank="true" errorStyle="stop" operator="between" showDropDown="false" showErrorMessage="false" showInputMessage="false" sqref="D4:D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2026-10-18T22:35:07Z</dcterms:created>
  <dc:creator>openpyxl</dc:creator>
  <dc:description/>
  <dc:language>en-US</dc:language>
  <cp:lastModifiedBy/>
  <dcterms:modified xsi:type="dcterms:W3CDTF">2026-10-18T22:35:07Z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